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Assumptions" sheetId="3" state="visible" r:id="rId5"/>
    <sheet name="Pricing" sheetId="4" state="visible" r:id="rId6"/>
    <sheet name="UnitCosts" sheetId="5" state="visible" r:id="rId7"/>
    <sheet name="Infrastructure" sheetId="6" state="visible" r:id="rId8"/>
    <sheet name="Staffing" sheetId="7" state="visible" r:id="rId9"/>
    <sheet name="Setup" sheetId="8" state="visible" r:id="rId10"/>
    <sheet name="Monthl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3" authorId="0">
      <text>
        <r>
          <rPr>
            <sz val="10"/>
            <rFont val="Arial"/>
            <family val="2"/>
          </rPr>
          <t xml:space="preserve">Assumption: B2B tools typically capture 2-5% of the revenue they influence. Keep list price below this ceiling.</t>
        </r>
      </text>
    </comment>
  </commentList>
</comments>
</file>

<file path=xl/sharedStrings.xml><?xml version="1.0" encoding="utf-8"?>
<sst xmlns="http://schemas.openxmlformats.org/spreadsheetml/2006/main" count="300" uniqueCount="294">
  <si>
    <t xml:space="preserve">How to use this model</t>
  </si>
  <si>
    <t xml:space="preserve">1. Pick a scenario in Assumptions!F3 (1 Conservative, 2 Base, 3 Aggressive).</t>
  </si>
  <si>
    <t xml:space="preserve">2. Blue cells are inputs; yellow cells are key levers. Black cells are formulas - don't overwrite them.</t>
  </si>
  <si>
    <t xml:space="preserve">3. Summary shows setup cost, capital required, break-even, unit economics, pricing.</t>
  </si>
  <si>
    <t xml:space="preserve">4. Pricing compares each plan's price with the commission the subscriber expects to earn and the analyst time saved.</t>
  </si>
  <si>
    <t xml:space="preserve">5. UnitCosts derives Claude AI cost per deal from token volumes and list prices.</t>
  </si>
  <si>
    <t xml:space="preserve">6. Infrastructure itemizes the AWS servers defined in infra/terraform.</t>
  </si>
  <si>
    <t xml:space="preserve">All figures are planning estimates, not quotes. Validate the starred growth and churn assumptions with beta customers.</t>
  </si>
  <si>
    <t xml:space="preserve">LendAgent - business model summary</t>
  </si>
  <si>
    <t xml:space="preserve">Change inputs on Assumptions / Pricing / UnitCosts / Infrastructure / Staffing / Setup.</t>
  </si>
  <si>
    <t xml:space="preserve">Scenario shown</t>
  </si>
  <si>
    <t xml:space="preserve">Cost to set up the business</t>
  </si>
  <si>
    <t xml:space="preserve">One-time setup costs (legal, SOC 2, pen test, brand, equipment)</t>
  </si>
  <si>
    <t xml:space="preserve">Pre-launch burn: all costs before first paid month</t>
  </si>
  <si>
    <t xml:space="preserve">Peak operating capital needed (salaries, servers, marketing until profitable; no loan funding)</t>
  </si>
  <si>
    <t xml:space="preserve">Month of peak capital need</t>
  </si>
  <si>
    <t xml:space="preserve">Recommended funding for the business (peak need + 25% cushion)</t>
  </si>
  <si>
    <t xml:space="preserve">Monthly run-rate costs</t>
  </si>
  <si>
    <t xml:space="preserve">Servers / hosting baseline per month (production)</t>
  </si>
  <si>
    <t xml:space="preserve">Security &amp; operations SaaS per month</t>
  </si>
  <si>
    <t xml:space="preserve">Total costs in month 12</t>
  </si>
  <si>
    <t xml:space="preserve">Total costs in month 36</t>
  </si>
  <si>
    <t xml:space="preserve">Unit economics (per account per month)</t>
  </si>
  <si>
    <t xml:space="preserve">Blended price per account (ARPA)</t>
  </si>
  <si>
    <t xml:space="preserve">AI + OCR + hosting variable cost per account</t>
  </si>
  <si>
    <t xml:space="preserve">Claude AI cost per deal analyzed</t>
  </si>
  <si>
    <t xml:space="preserve">Contribution after variable costs and card fees</t>
  </si>
  <si>
    <t xml:space="preserve">Customer lifetime (months) = 1 / churn</t>
  </si>
  <si>
    <t xml:space="preserve">Lifetime value (LTV)</t>
  </si>
  <si>
    <t xml:space="preserve">Customer acquisition cost (CAC)</t>
  </si>
  <si>
    <t xml:space="preserve">LTV / CAC</t>
  </si>
  <si>
    <t xml:space="preserve">CAC payback (months)</t>
  </si>
  <si>
    <t xml:space="preserve">Milestones</t>
  </si>
  <si>
    <t xml:space="preserve">First month with positive EBITDA</t>
  </si>
  <si>
    <t xml:space="preserve">Month cumulative cash turns positive</t>
  </si>
  <si>
    <t xml:space="preserve">Paying accounts - month 12</t>
  </si>
  <si>
    <t xml:space="preserve">Paying accounts - month 24</t>
  </si>
  <si>
    <t xml:space="preserve">Paying accounts - month 36</t>
  </si>
  <si>
    <t xml:space="preserve">Annual recurring revenue (ARR) - month 36</t>
  </si>
  <si>
    <t xml:space="preserve">Annual results</t>
  </si>
  <si>
    <t xml:space="preserve">Revenue - Year 1</t>
  </si>
  <si>
    <t xml:space="preserve">Revenue - Year 2</t>
  </si>
  <si>
    <t xml:space="preserve">Revenue - Year 3</t>
  </si>
  <si>
    <t xml:space="preserve">EBITDA - Year 1</t>
  </si>
  <si>
    <t xml:space="preserve">EBITDA - Year 2</t>
  </si>
  <si>
    <t xml:space="preserve">EBITDA - Year 3</t>
  </si>
  <si>
    <t xml:space="preserve">Gross margin - Year 3</t>
  </si>
  <si>
    <t xml:space="preserve">Pricing check</t>
  </si>
  <si>
    <t xml:space="preserve">Solo Broker price as % of expected commission</t>
  </si>
  <si>
    <t xml:space="preserve">Broker Team price as % of expected commission</t>
  </si>
  <si>
    <t xml:space="preserve">Brokerage Firm price as % of expected commission</t>
  </si>
  <si>
    <t xml:space="preserve">Assumptions</t>
  </si>
  <si>
    <t xml:space="preserve">Blue = input you can change. Yellow = scenario selector. Column F feeds the model.</t>
  </si>
  <si>
    <t xml:space="preserve">Scenario (1 = Conservative, 2 = Base, 3 = Aggressive)</t>
  </si>
  <si>
    <t xml:space="preserve">Assumption</t>
  </si>
  <si>
    <t xml:space="preserve">Conservative</t>
  </si>
  <si>
    <t xml:space="preserve">Base</t>
  </si>
  <si>
    <t xml:space="preserve">Aggressive</t>
  </si>
  <si>
    <t xml:space="preserve">Selected</t>
  </si>
  <si>
    <t xml:space="preserve">Source / note</t>
  </si>
  <si>
    <t xml:space="preserve">Timing</t>
  </si>
  <si>
    <t xml:space="preserve">First paid month (earlier months = build + private beta)</t>
  </si>
  <si>
    <t xml:space="preserve">Plan: 6-month MVP build incl. SOC 2 Type I readiness; see PLAN.md roadmap.</t>
  </si>
  <si>
    <t xml:space="preserve">Customer growth</t>
  </si>
  <si>
    <t xml:space="preserve">New paying accounts in launch month</t>
  </si>
  <si>
    <t xml:space="preserve">Founder-led sales from beta waitlist; assumption to validate in beta.</t>
  </si>
  <si>
    <t xml:space="preserve">Monthly growth in new-account adds</t>
  </si>
  <si>
    <t xml:space="preserve">Assumption. Typical early vertical SaaS 5-12%/mo.</t>
  </si>
  <si>
    <t xml:space="preserve">Cap on new accounts per month</t>
  </si>
  <si>
    <t xml:space="preserve">Sales/onboarding capacity ceiling.</t>
  </si>
  <si>
    <t xml:space="preserve">Monthly account churn</t>
  </si>
  <si>
    <t xml:space="preserve">Assumption. SMB vertical SaaS commonly 2-4%/mo.</t>
  </si>
  <si>
    <t xml:space="preserve">Plan mix (share of new accounts)</t>
  </si>
  <si>
    <t xml:space="preserve">Solo Broker plan share</t>
  </si>
  <si>
    <t xml:space="preserve">Assumption.</t>
  </si>
  <si>
    <t xml:space="preserve">Broker Team plan share</t>
  </si>
  <si>
    <t xml:space="preserve">Brokerage Firm plan share</t>
  </si>
  <si>
    <t xml:space="preserve">Assumption. Shares must total 100%.</t>
  </si>
  <si>
    <t xml:space="preserve">Usage</t>
  </si>
  <si>
    <t xml:space="preserve">Deals analyzed per seat per month</t>
  </si>
  <si>
    <t xml:space="preserve">Assumption: pipeline deals worked (not closed). Higher usage = higher AI cost.</t>
  </si>
  <si>
    <t xml:space="preserve">Support &amp; acquisition</t>
  </si>
  <si>
    <t xml:space="preserve">Accounts per customer-success/support rep</t>
  </si>
  <si>
    <t xml:space="preserve">Assumption for high-touch B2B onboarding.</t>
  </si>
  <si>
    <t xml:space="preserve">Customer acquisition cost per new account ($)</t>
  </si>
  <si>
    <t xml:space="preserve">Assumption: paid search/LinkedIn, events, referral fees. AE and marketing salaries are in Staffing, so fully loaded CAC is higher. Validate after launch.</t>
  </si>
  <si>
    <t xml:space="preserve">Costs (all scenarios)</t>
  </si>
  <si>
    <t xml:space="preserve">Customer success rep, loaded monthly cost ($)</t>
  </si>
  <si>
    <t xml:space="preserve">~$80k salary x 1.25 burden / 12.</t>
  </si>
  <si>
    <t xml:space="preserve">Base marketing spend per month ($), from 2 months pre-launch</t>
  </si>
  <si>
    <t xml:space="preserve">Content, website, broker conferences and associations (e.g. AACFB, state broker groups).</t>
  </si>
  <si>
    <t xml:space="preserve">Card/ACH processing as % of revenue</t>
  </si>
  <si>
    <t xml:space="preserve">Stripe list price 2.9% + $0.30 (ACH cheaper).</t>
  </si>
  <si>
    <t xml:space="preserve">Variable hosting per seat per month ($)</t>
  </si>
  <si>
    <t xml:space="preserve">Storage, egress, worker compute, embeddings. Estimate.</t>
  </si>
  <si>
    <t xml:space="preserve">Per-tenant encryption key per account per month ($)</t>
  </si>
  <si>
    <t xml:space="preserve">AWS KMS customer-managed key $1/key/month.</t>
  </si>
  <si>
    <t xml:space="preserve">Hosting during build as % of production baseline</t>
  </si>
  <si>
    <t xml:space="preserve">Staging + small prod before launch.</t>
  </si>
  <si>
    <t xml:space="preserve">Insurance per month: cyber, tech E&amp;O, D&amp;O ($)</t>
  </si>
  <si>
    <t xml:space="preserve">Estimate; quotes vary with limits ($3-5M cyber/E&amp;O typical for fintech vendors).</t>
  </si>
  <si>
    <t xml:space="preserve">Accounting, bookkeeping, legal retainer per month ($)</t>
  </si>
  <si>
    <t xml:space="preserve">Estimate.</t>
  </si>
  <si>
    <t xml:space="preserve">SOC 2 Type II + annual pen test + audits, per month ($)</t>
  </si>
  <si>
    <t xml:space="preserve">~$60k/yr once on annual SOC 2 Type II cycle.</t>
  </si>
  <si>
    <t xml:space="preserve">Month recurring compliance costs begin</t>
  </si>
  <si>
    <t xml:space="preserve">After Type I.</t>
  </si>
  <si>
    <t xml:space="preserve">Team plan: 1 = Full team, 2 = Lean founder-led team (see Staffing)</t>
  </si>
  <si>
    <t xml:space="preserve">Lean = founder unpaid in year 1, fractional SME/security, later hires.</t>
  </si>
  <si>
    <t xml:space="preserve">Other G&amp;A per month ($): software seats, travel, co-working</t>
  </si>
  <si>
    <t xml:space="preserve">Check: plan mix totals 100%</t>
  </si>
  <si>
    <t xml:space="preserve">Pricing vs. subscriber commission</t>
  </si>
  <si>
    <t xml:space="preserve">Value-based check: what each tier costs relative to the commission it helps close and the analyst time it saves.</t>
  </si>
  <si>
    <t xml:space="preserve">Per account, per month</t>
  </si>
  <si>
    <t xml:space="preserve">Solo Broker</t>
  </si>
  <si>
    <t xml:space="preserve">Broker Team</t>
  </si>
  <si>
    <t xml:space="preserve">Brokerage Firm</t>
  </si>
  <si>
    <t xml:space="preserve">Target subscriber</t>
  </si>
  <si>
    <t xml:space="preserve">Independent commercial loan broker</t>
  </si>
  <si>
    <t xml:space="preserve">Broker with 2-3 partners or analysts</t>
  </si>
  <si>
    <t xml:space="preserve">Commercial brokerage firm (up to 10 brokers)</t>
  </si>
  <si>
    <t xml:space="preserve">Seats included</t>
  </si>
  <si>
    <t xml:space="preserve">Average loan size ($)</t>
  </si>
  <si>
    <t xml:space="preserve">Broker fee / commission (% of loan)</t>
  </si>
  <si>
    <t xml:space="preserve">Loans closed per month</t>
  </si>
  <si>
    <t xml:space="preserve">Expected commission per month ($)</t>
  </si>
  <si>
    <t xml:space="preserve">Analyst hours saved per deal analyzed</t>
  </si>
  <si>
    <t xml:space="preserve">Value of broker/analyst time per hour ($)</t>
  </si>
  <si>
    <t xml:space="preserve">Value of time saved per month ($)</t>
  </si>
  <si>
    <t xml:space="preserve">Recommended list price per month ($)</t>
  </si>
  <si>
    <t xml:space="preserve">Price as % of expected commission</t>
  </si>
  <si>
    <t xml:space="preserve">Customer ROI on time saved alone</t>
  </si>
  <si>
    <t xml:space="preserve">Value-based ceiling at target share ($)</t>
  </si>
  <si>
    <t xml:space="preserve">One-time onboarding fee ($)</t>
  </si>
  <si>
    <t xml:space="preserve">Plan mix (from Assumptions)</t>
  </si>
  <si>
    <t xml:space="preserve">Target price as share of commission (value-based ceiling)</t>
  </si>
  <si>
    <t xml:space="preserve">Blended (by plan mix)</t>
  </si>
  <si>
    <t xml:space="preserve">Blended revenue per account per month (ARPA) ($)</t>
  </si>
  <si>
    <t xml:space="preserve">Blended seats per account</t>
  </si>
  <si>
    <t xml:space="preserve">Blended onboarding fee per new account ($)</t>
  </si>
  <si>
    <t xml:space="preserve">Why flat subscriptions, not a % of commission: taking a share of loan fees can make the platform look like a broker/finder under some state lending laws (e.g. California Financing Law) - confirm with regulatory counsel before offering any success-fee plan.</t>
  </si>
  <si>
    <t xml:space="preserve">AI and document-processing unit costs</t>
  </si>
  <si>
    <t xml:space="preserve">Claude API list prices (USD per million tokens), Anthropic first-party, Oct 2026. Bedrock pricing may differ.</t>
  </si>
  <si>
    <t xml:space="preserve">Model prices ($ per 1M tokens)</t>
  </si>
  <si>
    <t xml:space="preserve">Claude Opus 5.5 - input</t>
  </si>
  <si>
    <t xml:space="preserve">Claude Opus 5.5 - output</t>
  </si>
  <si>
    <t xml:space="preserve">Claude Opus 5.5 - cache read</t>
  </si>
  <si>
    <t xml:space="preserve">Claude Sonnet 5.5 - input</t>
  </si>
  <si>
    <t xml:space="preserve">Claude Sonnet 5.5 - output</t>
  </si>
  <si>
    <t xml:space="preserve">Claude Sonnet 5.5 - cache read</t>
  </si>
  <si>
    <t xml:space="preserve">Claude Haiku 5.5 - input (prompts &lt;=100K)</t>
  </si>
  <si>
    <t xml:space="preserve">Claude Haiku 5.5 - output (prompts &lt;=100K)</t>
  </si>
  <si>
    <t xml:space="preserve">Cache write premium (x input price)</t>
  </si>
  <si>
    <t xml:space="preserve">Per deal: document extraction (Haiku 5.5)</t>
  </si>
  <si>
    <t xml:space="preserve">Pages per loan package</t>
  </si>
  <si>
    <t xml:space="preserve">Tokens per page</t>
  </si>
  <si>
    <t xml:space="preserve">Structured output tokens per deal</t>
  </si>
  <si>
    <t xml:space="preserve">Extraction cost per deal ($)</t>
  </si>
  <si>
    <t xml:space="preserve">Per deal: underwriting analysis, workbook and memo (Opus 5.5)</t>
  </si>
  <si>
    <t xml:space="preserve">Agent turns per deal</t>
  </si>
  <si>
    <t xml:space="preserve">Average context per turn (tokens)</t>
  </si>
  <si>
    <t xml:space="preserve">Share of input served from prompt cache</t>
  </si>
  <si>
    <t xml:space="preserve">Output + thinking tokens per deal</t>
  </si>
  <si>
    <t xml:space="preserve">Analysis cost per deal ($)</t>
  </si>
  <si>
    <t xml:space="preserve">Per deal: OCR for scanned pages (AWS Textract)</t>
  </si>
  <si>
    <t xml:space="preserve">Share of pages needing OCR</t>
  </si>
  <si>
    <t xml:space="preserve">OCR price per page ($)</t>
  </si>
  <si>
    <t xml:space="preserve">OCR cost per deal ($)</t>
  </si>
  <si>
    <t xml:space="preserve">Per seat: everyday assistant work (Sonnet 5.5)</t>
  </si>
  <si>
    <t xml:space="preserve">Assistant sessions per seat per month</t>
  </si>
  <si>
    <t xml:space="preserve">Input tokens per session</t>
  </si>
  <si>
    <t xml:space="preserve">Output tokens per session</t>
  </si>
  <si>
    <t xml:space="preserve">Assistant cost per seat per month ($)</t>
  </si>
  <si>
    <t xml:space="preserve">Overheads</t>
  </si>
  <si>
    <t xml:space="preserve">Buffer for retries, evals, long documents</t>
  </si>
  <si>
    <t xml:space="preserve">AI cost per deal incl. buffer ($)</t>
  </si>
  <si>
    <t xml:space="preserve">AI assistant cost per seat incl. buffer ($)</t>
  </si>
  <si>
    <t xml:space="preserve">Remote servers and operations tooling (monthly, production baseline)</t>
  </si>
  <si>
    <t xml:space="preserve">AWS us-east-1 primary, us-west-2 DR. Matches infra/terraform. Estimates at list price.</t>
  </si>
  <si>
    <t xml:space="preserve">AWS line item</t>
  </si>
  <si>
    <t xml:space="preserve">$ / month</t>
  </si>
  <si>
    <t xml:space="preserve">Note</t>
  </si>
  <si>
    <t xml:space="preserve">ECS Fargate - API (3 x 1 vCPU / 2 GB, ARM)</t>
  </si>
  <si>
    <t xml:space="preserve">Graviton Fargate ~$30/task-month.</t>
  </si>
  <si>
    <t xml:space="preserve">ECS Fargate - workers (4 x 2 vCPU / 4 GB, ARM)</t>
  </si>
  <si>
    <t xml:space="preserve">Autoscale 4-20 tasks.</t>
  </si>
  <si>
    <t xml:space="preserve">RDS PostgreSQL Multi-AZ db.r6g.large + 200 GB gp3</t>
  </si>
  <si>
    <t xml:space="preserve">Encrypted, 35-day PITR.</t>
  </si>
  <si>
    <t xml:space="preserve">NAT gateways (3 AZ) + data processing</t>
  </si>
  <si>
    <t xml:space="preserve">$0.045/hr each + $0.045/GB.</t>
  </si>
  <si>
    <t xml:space="preserve">Interface VPC endpoints (8 services x 3 AZ)</t>
  </si>
  <si>
    <t xml:space="preserve">~$7.30 per endpoint per AZ.</t>
  </si>
  <si>
    <t xml:space="preserve">Application Load Balancer + WAF</t>
  </si>
  <si>
    <t xml:space="preserve">WAF $5/ACL + $1/rule + requests.</t>
  </si>
  <si>
    <t xml:space="preserve">S3 documents + DR replica + audit (Object Lock)</t>
  </si>
  <si>
    <t xml:space="preserve">Grows with tenants.</t>
  </si>
  <si>
    <t xml:space="preserve">KMS platform keys + API requests</t>
  </si>
  <si>
    <t xml:space="preserve">Per-tenant keys are in variable costs.</t>
  </si>
  <si>
    <t xml:space="preserve">CloudTrail data events, GuardDuty, Security Hub, Inspector</t>
  </si>
  <si>
    <t xml:space="preserve">Security monitoring.</t>
  </si>
  <si>
    <t xml:space="preserve">CloudWatch logs and metrics (400-day retention)</t>
  </si>
  <si>
    <t xml:space="preserve">AWS Backup + cross-region RDS backup copies</t>
  </si>
  <si>
    <t xml:space="preserve">DR region us-west-2.</t>
  </si>
  <si>
    <t xml:space="preserve">Staging environment (2 AZ, single-AZ DB)</t>
  </si>
  <si>
    <t xml:space="preserve">AWS Business Support</t>
  </si>
  <si>
    <t xml:space="preserve">Greater of $100 or ~10% of spend.</t>
  </si>
  <si>
    <t xml:space="preserve">Hosting baseline total</t>
  </si>
  <si>
    <t xml:space="preserve">Security and operations SaaS</t>
  </si>
  <si>
    <t xml:space="preserve">Compliance automation (Vanta / Drata)</t>
  </si>
  <si>
    <t xml:space="preserve">~$12k/yr.</t>
  </si>
  <si>
    <t xml:space="preserve">Observability / SIEM (e.g. Datadog)</t>
  </si>
  <si>
    <t xml:space="preserve">Single sign-on (e.g. WorkOS) for brokerage-firm accounts</t>
  </si>
  <si>
    <t xml:space="preserve">Support desk + in-app chat (Intercom / Zendesk)</t>
  </si>
  <si>
    <t xml:space="preserve">Source control, CI/CD, code + dependency scanning</t>
  </si>
  <si>
    <t xml:space="preserve">Endpoint management (MDM) + password manager</t>
  </si>
  <si>
    <t xml:space="preserve">Laptops are in scope for SOC 2.</t>
  </si>
  <si>
    <t xml:space="preserve">E-signature, email, productivity suite</t>
  </si>
  <si>
    <t xml:space="preserve">SaaS tooling total</t>
  </si>
  <si>
    <t xml:space="preserve">Team plans (loaded monthly cost = salary x ~1.25 / 12)</t>
  </si>
  <si>
    <t xml:space="preserve">Pick the plan in Assumptions. Support reps scale with accounts and are in COGS.</t>
  </si>
  <si>
    <t xml:space="preserve">Role</t>
  </si>
  <si>
    <t xml:space="preserve">Full: $ / month</t>
  </si>
  <si>
    <t xml:space="preserve">Full: start month</t>
  </si>
  <si>
    <t xml:space="preserve">Lean: $ / month</t>
  </si>
  <si>
    <t xml:space="preserve">Lean: start month</t>
  </si>
  <si>
    <t xml:space="preserve">Founder / CEO</t>
  </si>
  <si>
    <t xml:space="preserve">Lean: unpaid for the first 12 months.</t>
  </si>
  <si>
    <t xml:space="preserve">Founding AI / full-stack engineer</t>
  </si>
  <si>
    <t xml:space="preserve">~$210k x 1.25 burden.</t>
  </si>
  <si>
    <t xml:space="preserve">Full-stack engineer</t>
  </si>
  <si>
    <t xml:space="preserve">Commercial lending SME / product lead</t>
  </si>
  <si>
    <t xml:space="preserve">Ex-broker or credit officer; builds lender-ready package templates, grades agent output. Lean: half-time contractor.</t>
  </si>
  <si>
    <t xml:space="preserve">DevSecOps / security engineer</t>
  </si>
  <si>
    <t xml:space="preserve">Owns SOC 2 controls + infra. Lean: fractional contractor.</t>
  </si>
  <si>
    <t xml:space="preserve">Account executive (base + commission)</t>
  </si>
  <si>
    <t xml:space="preserve">Marketing manager</t>
  </si>
  <si>
    <t xml:space="preserve">Engineer #3</t>
  </si>
  <si>
    <t xml:space="preserve">Compliance &amp; operations manager</t>
  </si>
  <si>
    <t xml:space="preserve">Security questionnaires, audits.</t>
  </si>
  <si>
    <t xml:space="preserve">Account executive #2</t>
  </si>
  <si>
    <t xml:space="preserve">Engineer #4</t>
  </si>
  <si>
    <t xml:space="preserve">One-time setup costs</t>
  </si>
  <si>
    <t xml:space="preserve">Month = when the cost is paid. Estimates; get quotes.</t>
  </si>
  <si>
    <t xml:space="preserve">Item</t>
  </si>
  <si>
    <t xml:space="preserve">Cost ($)</t>
  </si>
  <si>
    <t xml:space="preserve">Month</t>
  </si>
  <si>
    <t xml:space="preserve">Entity formation, founder/IP agreements, cap table</t>
  </si>
  <si>
    <t xml:space="preserve">Regulatory counsel: lending/broker licensing, ECOA/Reg B, UPL, state law memo</t>
  </si>
  <si>
    <t xml:space="preserve">Terms of service, DPA, privacy policy, AI-use disclosures, MSA template</t>
  </si>
  <si>
    <t xml:space="preserve">Trademark search and filing</t>
  </si>
  <si>
    <t xml:space="preserve">Brand, website, product design system</t>
  </si>
  <si>
    <t xml:space="preserve">Lending template library: credit memo, spreading, policy packs (SME time)</t>
  </si>
  <si>
    <t xml:space="preserve">Evaluation dataset: synthetic loan packages + expert grading</t>
  </si>
  <si>
    <t xml:space="preserve">Laptops and equipment (5)</t>
  </si>
  <si>
    <t xml:space="preserve">SOC 2 readiness consultant</t>
  </si>
  <si>
    <t xml:space="preserve">SOC 2 Type I audit</t>
  </si>
  <si>
    <t xml:space="preserve">Independent penetration test before launch</t>
  </si>
  <si>
    <t xml:space="preserve">Launch marketing: conferences, association sponsorships, collateral</t>
  </si>
  <si>
    <t xml:space="preserve">Contingency (% of items above)</t>
  </si>
  <si>
    <t xml:space="preserve">Total one-time setup</t>
  </si>
  <si>
    <t xml:space="preserve">36-month operating model ($)</t>
  </si>
  <si>
    <t xml:space="preserve">All cells are formulas over the input sheets.</t>
  </si>
  <si>
    <t xml:space="preserve">Year</t>
  </si>
  <si>
    <t xml:space="preserve">Live (1 = selling)</t>
  </si>
  <si>
    <t xml:space="preserve">Beginning accounts</t>
  </si>
  <si>
    <t xml:space="preserve">New accounts</t>
  </si>
  <si>
    <t xml:space="preserve">Churned accounts</t>
  </si>
  <si>
    <t xml:space="preserve">Ending accounts</t>
  </si>
  <si>
    <t xml:space="preserve">Seats</t>
  </si>
  <si>
    <t xml:space="preserve">Subscription revenue</t>
  </si>
  <si>
    <t xml:space="preserve">Onboarding fees</t>
  </si>
  <si>
    <t xml:space="preserve">Total revenue</t>
  </si>
  <si>
    <t xml:space="preserve">AI model usage (Claude)</t>
  </si>
  <si>
    <t xml:space="preserve">Document OCR</t>
  </si>
  <si>
    <t xml:space="preserve">Hosting baseline (servers)</t>
  </si>
  <si>
    <t xml:space="preserve">Hosting variable + tenant keys</t>
  </si>
  <si>
    <t xml:space="preserve">Payment processing</t>
  </si>
  <si>
    <t xml:space="preserve">Customer support staff</t>
  </si>
  <si>
    <t xml:space="preserve">Total cost of revenue</t>
  </si>
  <si>
    <t xml:space="preserve">Gross profit</t>
  </si>
  <si>
    <t xml:space="preserve">Gross margin %</t>
  </si>
  <si>
    <t xml:space="preserve">Payroll (product, engineering, sales, G&amp;A)</t>
  </si>
  <si>
    <t xml:space="preserve">Sales &amp; marketing (CAC + base)</t>
  </si>
  <si>
    <t xml:space="preserve">Security &amp; operations SaaS</t>
  </si>
  <si>
    <t xml:space="preserve">Insurance</t>
  </si>
  <si>
    <t xml:space="preserve">Professional services</t>
  </si>
  <si>
    <t xml:space="preserve">Recurring compliance (SOC 2 Type II, pen tests)</t>
  </si>
  <si>
    <t xml:space="preserve">Other G&amp;A</t>
  </si>
  <si>
    <t xml:space="preserve">Total operating expenses</t>
  </si>
  <si>
    <t xml:space="preserve">EBITDA (monthly profit / loss)</t>
  </si>
  <si>
    <t xml:space="preserve">Cumulative cash flow</t>
  </si>
  <si>
    <t xml:space="preserve">Total costs (COGS + opex)</t>
  </si>
  <si>
    <t xml:space="preserve">helper: month if EBITDA-positive</t>
  </si>
  <si>
    <t xml:space="preserve">helper: month if cumulative cash recovered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</si>
</sst>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#,##0.0;\(#,##0.0\);\-"/>
    <numFmt numFmtId="169" formatCode="0.0\x"/>
    <numFmt numFmtId="170" formatCode="0.0%;\(0.0%\);\-"/>
    <numFmt numFmtId="171" formatCode="0.00%"/>
    <numFmt numFmtId="172" formatCode="\$0.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vs. total costs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Monthly!B16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Monthly!$C$4:$AL$4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Monthly!$C$16:$AL$16</c:f>
              <c:numCache>
                <c:formatCode>\$#,##0;"($"#,##0\);\-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11994</c:v>
                </c:pt>
                <c:pt idx="7">
                  <c:v>21283.92</c:v>
                </c:pt>
                <c:pt idx="8">
                  <c:v>31108.7736</c:v>
                </c:pt>
                <c:pt idx="9">
                  <c:v>41516.561988</c:v>
                </c:pt>
                <c:pt idx="10">
                  <c:v>52558.99628454</c:v>
                </c:pt>
                <c:pt idx="11">
                  <c:v>64291.7975913657</c:v>
                </c:pt>
                <c:pt idx="12">
                  <c:v>76775.0209626359</c:v>
                </c:pt>
                <c:pt idx="13">
                  <c:v>90073.4052145087</c:v>
                </c:pt>
                <c:pt idx="14">
                  <c:v>104256.75064216</c:v>
                </c:pt>
                <c:pt idx="15">
                  <c:v>119400.326878761</c:v>
                </c:pt>
                <c:pt idx="16">
                  <c:v>135585.313309659</c:v>
                </c:pt>
                <c:pt idx="17">
                  <c:v>152899.274648014</c:v>
                </c:pt>
                <c:pt idx="18">
                  <c:v>171436.674486598</c:v>
                </c:pt>
                <c:pt idx="19">
                  <c:v>191299.4298656</c:v>
                </c:pt>
                <c:pt idx="20">
                  <c:v>212597.510139421</c:v>
                </c:pt>
                <c:pt idx="21">
                  <c:v>235449.583688033</c:v>
                </c:pt>
                <c:pt idx="22">
                  <c:v>259983.716302097</c:v>
                </c:pt>
                <c:pt idx="23">
                  <c:v>286338.125377311</c:v>
                </c:pt>
                <c:pt idx="24">
                  <c:v>314661.994384266</c:v>
                </c:pt>
                <c:pt idx="25">
                  <c:v>345116.352437358</c:v>
                </c:pt>
                <c:pt idx="26">
                  <c:v>377875.024172139</c:v>
                </c:pt>
                <c:pt idx="27">
                  <c:v>413125.655557207</c:v>
                </c:pt>
                <c:pt idx="28">
                  <c:v>451070.821716798</c:v>
                </c:pt>
                <c:pt idx="29">
                  <c:v>491929.223326282</c:v>
                </c:pt>
                <c:pt idx="30">
                  <c:v>535936.97866772</c:v>
                </c:pt>
                <c:pt idx="31">
                  <c:v>583349.01899959</c:v>
                </c:pt>
                <c:pt idx="32">
                  <c:v>634440.595507049</c:v>
                </c:pt>
                <c:pt idx="33">
                  <c:v>689508.906760417</c:v>
                </c:pt>
                <c:pt idx="34">
                  <c:v>748874.856323734</c:v>
                </c:pt>
                <c:pt idx="35">
                  <c:v>812884.950926555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Monthly!B40</c:f>
              <c:strCache>
                <c:ptCount val="1"/>
                <c:pt idx="0">
                  <c:v>Total costs (COGS + opex)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Monthly!$C$4:$AL$4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Monthly!$C$40:$AL$40</c:f>
              <c:numCache>
                <c:formatCode>\$#,##0;"($"#,##0\);\-</c:formatCode>
                <c:ptCount val="36"/>
                <c:pt idx="0">
                  <c:v>150080</c:v>
                </c:pt>
                <c:pt idx="1">
                  <c:v>116480</c:v>
                </c:pt>
                <c:pt idx="2">
                  <c:v>91480</c:v>
                </c:pt>
                <c:pt idx="3">
                  <c:v>125480</c:v>
                </c:pt>
                <c:pt idx="4">
                  <c:v>100480</c:v>
                </c:pt>
                <c:pt idx="5">
                  <c:v>155250</c:v>
                </c:pt>
                <c:pt idx="6">
                  <c:v>149529.7365</c:v>
                </c:pt>
                <c:pt idx="7">
                  <c:v>153229.8097575</c:v>
                </c:pt>
                <c:pt idx="8">
                  <c:v>157184.946517163</c:v>
                </c:pt>
                <c:pt idx="9">
                  <c:v>172416.575418121</c:v>
                </c:pt>
                <c:pt idx="10">
                  <c:v>176947.813801667</c:v>
                </c:pt>
                <c:pt idx="11">
                  <c:v>181803.603447145</c:v>
                </c:pt>
                <c:pt idx="12">
                  <c:v>210010.857150727</c:v>
                </c:pt>
                <c:pt idx="13">
                  <c:v>215598.6170149</c:v>
                </c:pt>
                <c:pt idx="14">
                  <c:v>230098.225385904</c:v>
                </c:pt>
                <c:pt idx="15">
                  <c:v>261543.509451343</c:v>
                </c:pt>
                <c:pt idx="16">
                  <c:v>268470.980591153</c:v>
                </c:pt>
                <c:pt idx="17">
                  <c:v>275920.049662556</c:v>
                </c:pt>
                <c:pt idx="18">
                  <c:v>301933.259494067</c:v>
                </c:pt>
                <c:pt idx="19">
                  <c:v>319056.535965637</c:v>
                </c:pt>
                <c:pt idx="20">
                  <c:v>328339.459162132</c:v>
                </c:pt>
                <c:pt idx="21">
                  <c:v>338335.556206365</c:v>
                </c:pt>
                <c:pt idx="22">
                  <c:v>349102.617506355</c:v>
                </c:pt>
                <c:pt idx="23">
                  <c:v>369203.038290257</c:v>
                </c:pt>
                <c:pt idx="24">
                  <c:v>381704.187452287</c:v>
                </c:pt>
                <c:pt idx="25">
                  <c:v>395178.805894809</c:v>
                </c:pt>
                <c:pt idx="26">
                  <c:v>418205.436726574</c:v>
                </c:pt>
                <c:pt idx="27">
                  <c:v>433868.889865876</c:v>
                </c:pt>
                <c:pt idx="28">
                  <c:v>459260.743801292</c:v>
                </c:pt>
                <c:pt idx="29">
                  <c:v>477479.887482888</c:v>
                </c:pt>
                <c:pt idx="30">
                  <c:v>505633.105554575</c:v>
                </c:pt>
                <c:pt idx="31">
                  <c:v>526835.71039517</c:v>
                </c:pt>
                <c:pt idx="32">
                  <c:v>558212.224713107</c:v>
                </c:pt>
                <c:pt idx="33">
                  <c:v>582897.118739321</c:v>
                </c:pt>
                <c:pt idx="34">
                  <c:v>618035.606386403</c:v>
                </c:pt>
                <c:pt idx="35">
                  <c:v>655284.505091553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057901"/>
        <c:axId val="17069845"/>
      </c:lineChart>
      <c:catAx>
        <c:axId val="72057901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069845"/>
        <c:crosses val="autoZero"/>
        <c:auto val="1"/>
        <c:lblAlgn val="ctr"/>
        <c:lblOffset val="100"/>
        <c:noMultiLvlLbl val="0"/>
      </c:catAx>
      <c:valAx>
        <c:axId val="170698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0579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Monthly!B39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Monthly!$C$4:$AL$4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Monthly!$C$39:$AL$39</c:f>
              <c:numCache>
                <c:formatCode>\$#,##0;"($"#,##0\);\-</c:formatCode>
                <c:ptCount val="36"/>
                <c:pt idx="0">
                  <c:v>-150080</c:v>
                </c:pt>
                <c:pt idx="1">
                  <c:v>-266560</c:v>
                </c:pt>
                <c:pt idx="2">
                  <c:v>-358040</c:v>
                </c:pt>
                <c:pt idx="3">
                  <c:v>-483520</c:v>
                </c:pt>
                <c:pt idx="4">
                  <c:v>-584000</c:v>
                </c:pt>
                <c:pt idx="5">
                  <c:v>-739250</c:v>
                </c:pt>
                <c:pt idx="6">
                  <c:v>-876785.7365</c:v>
                </c:pt>
                <c:pt idx="7">
                  <c:v>-1008731.6262575</c:v>
                </c:pt>
                <c:pt idx="8">
                  <c:v>-1134807.79917466</c:v>
                </c:pt>
                <c:pt idx="9">
                  <c:v>-1265707.81260478</c:v>
                </c:pt>
                <c:pt idx="10">
                  <c:v>-1390096.63012191</c:v>
                </c:pt>
                <c:pt idx="11">
                  <c:v>-1507608.43597769</c:v>
                </c:pt>
                <c:pt idx="12">
                  <c:v>-1640844.27216578</c:v>
                </c:pt>
                <c:pt idx="13">
                  <c:v>-1766369.48396617</c:v>
                </c:pt>
                <c:pt idx="14">
                  <c:v>-1892210.95870992</c:v>
                </c:pt>
                <c:pt idx="15">
                  <c:v>-2034354.1412825</c:v>
                </c:pt>
                <c:pt idx="16">
                  <c:v>-2167239.80856399</c:v>
                </c:pt>
                <c:pt idx="17">
                  <c:v>-2290260.58357853</c:v>
                </c:pt>
                <c:pt idx="18">
                  <c:v>-2420757.168586</c:v>
                </c:pt>
                <c:pt idx="19">
                  <c:v>-2548514.27468604</c:v>
                </c:pt>
                <c:pt idx="20">
                  <c:v>-2664256.22370875</c:v>
                </c:pt>
                <c:pt idx="21">
                  <c:v>-2767142.19622708</c:v>
                </c:pt>
                <c:pt idx="22">
                  <c:v>-2856261.09743134</c:v>
                </c:pt>
                <c:pt idx="23">
                  <c:v>-2939126.01034429</c:v>
                </c:pt>
                <c:pt idx="24">
                  <c:v>-3006168.20341231</c:v>
                </c:pt>
                <c:pt idx="25">
                  <c:v>-3056230.65686976</c:v>
                </c:pt>
                <c:pt idx="26">
                  <c:v>-3096561.0694242</c:v>
                </c:pt>
                <c:pt idx="27">
                  <c:v>-3117304.30373286</c:v>
                </c:pt>
                <c:pt idx="28">
                  <c:v>-3125494.22581736</c:v>
                </c:pt>
                <c:pt idx="29">
                  <c:v>-3111044.88997396</c:v>
                </c:pt>
                <c:pt idx="30">
                  <c:v>-3080741.01686082</c:v>
                </c:pt>
                <c:pt idx="31">
                  <c:v>-3024227.7082564</c:v>
                </c:pt>
                <c:pt idx="32">
                  <c:v>-2947999.33746246</c:v>
                </c:pt>
                <c:pt idx="33">
                  <c:v>-2841387.54944136</c:v>
                </c:pt>
                <c:pt idx="34">
                  <c:v>-2710548.29950403</c:v>
                </c:pt>
                <c:pt idx="35">
                  <c:v>-2552947.85366903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655877"/>
        <c:axId val="34257257"/>
      </c:lineChart>
      <c:catAx>
        <c:axId val="1655877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57257"/>
        <c:crosses val="autoZero"/>
        <c:auto val="1"/>
        <c:lblAlgn val="ctr"/>
        <c:lblOffset val="100"/>
        <c:noMultiLvlLbl val="0"/>
      </c:catAx>
      <c:valAx>
        <c:axId val="342572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55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160920</xdr:rowOff>
    </xdr:from>
    <xdr:to>
      <xdr:col>14</xdr:col>
      <xdr:colOff>364680</xdr:colOff>
      <xdr:row>18</xdr:row>
      <xdr:rowOff>182880</xdr:rowOff>
    </xdr:to>
    <xdr:graphicFrame>
      <xdr:nvGraphicFramePr>
        <xdr:cNvPr id="0" name="Chart 1"/>
        <xdr:cNvGraphicFramePr/>
      </xdr:nvGraphicFramePr>
      <xdr:xfrm>
        <a:off x="7143840" y="762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160920</xdr:rowOff>
    </xdr:from>
    <xdr:to>
      <xdr:col>14</xdr:col>
      <xdr:colOff>364680</xdr:colOff>
      <xdr:row>36</xdr:row>
      <xdr:rowOff>182880</xdr:rowOff>
    </xdr:to>
    <xdr:graphicFrame>
      <xdr:nvGraphicFramePr>
        <xdr:cNvPr id="1" name="Chart 2"/>
        <xdr:cNvGraphicFramePr/>
      </xdr:nvGraphicFramePr>
      <xdr:xfrm>
        <a:off x="7143840" y="4191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3" t="s">
        <v>9</v>
      </c>
    </row>
    <row r="3" customFormat="false" ht="15" hidden="false" customHeight="false" outlineLevel="0" collapsed="false">
      <c r="A3" s="2" t="s">
        <v>10</v>
      </c>
      <c r="C3" s="4" t="str">
        <f aca="false">Assumptions!$G$3</f>
        <v>Base</v>
      </c>
      <c r="D3" s="2" t="str">
        <f aca="false">IF(Assumptions!$F$34=1,"Full team","Lean team")</f>
        <v>Full team</v>
      </c>
    </row>
    <row r="5" customFormat="false" ht="15" hidden="false" customHeight="false" outlineLevel="0" collapsed="false">
      <c r="A5" s="5" t="s">
        <v>11</v>
      </c>
    </row>
    <row r="6" customFormat="false" ht="15" hidden="false" customHeight="false" outlineLevel="0" collapsed="false">
      <c r="A6" s="2" t="s">
        <v>12</v>
      </c>
      <c r="C6" s="6" t="n">
        <f aca="false">Setup!$C$18</f>
        <v>211600</v>
      </c>
    </row>
    <row r="7" customFormat="false" ht="15" hidden="false" customHeight="false" outlineLevel="0" collapsed="false">
      <c r="A7" s="2" t="s">
        <v>13</v>
      </c>
      <c r="C7" s="6" t="n">
        <f aca="false">SUMPRODUCT((Monthly!$C$4:$AL$4&lt;Assumptions!$F$7)*Monthly!$C$40:$AL$40)</f>
        <v>739250</v>
      </c>
    </row>
    <row r="8" customFormat="false" ht="15" hidden="false" customHeight="false" outlineLevel="0" collapsed="false">
      <c r="A8" s="2" t="s">
        <v>14</v>
      </c>
      <c r="C8" s="7" t="n">
        <f aca="false">MAX(0,-MIN(Monthly!$C$39:$AL$39))</f>
        <v>3125494.22581736</v>
      </c>
    </row>
    <row r="9" customFormat="false" ht="15" hidden="false" customHeight="false" outlineLevel="0" collapsed="false">
      <c r="A9" s="2" t="s">
        <v>15</v>
      </c>
      <c r="C9" s="8" t="n">
        <f aca="false">INDEX(Monthly!$C$4:$AL$4,MATCH(MIN(Monthly!$C$39:$AL$39),Monthly!$C$39:$AL$39,0))</f>
        <v>29</v>
      </c>
    </row>
    <row r="10" customFormat="false" ht="15" hidden="false" customHeight="false" outlineLevel="0" collapsed="false">
      <c r="A10" s="2" t="s">
        <v>16</v>
      </c>
      <c r="C10" s="7" t="n">
        <f aca="false">C8*1.25</f>
        <v>3906867.7822717</v>
      </c>
    </row>
    <row r="11" customFormat="false" ht="15" hidden="false" customHeight="false" outlineLevel="0" collapsed="false">
      <c r="A11" s="5" t="s">
        <v>17</v>
      </c>
    </row>
    <row r="12" customFormat="false" ht="15" hidden="false" customHeight="false" outlineLevel="0" collapsed="false">
      <c r="A12" s="2" t="s">
        <v>18</v>
      </c>
      <c r="C12" s="6" t="n">
        <f aca="false">Infrastructure!$C$18</f>
        <v>2950</v>
      </c>
    </row>
    <row r="13" customFormat="false" ht="15" hidden="false" customHeight="false" outlineLevel="0" collapsed="false">
      <c r="A13" s="2" t="s">
        <v>19</v>
      </c>
      <c r="C13" s="6" t="n">
        <f aca="false">Infrastructure!$C$28</f>
        <v>3800</v>
      </c>
    </row>
    <row r="14" customFormat="false" ht="15" hidden="false" customHeight="false" outlineLevel="0" collapsed="false">
      <c r="A14" s="2" t="s">
        <v>20</v>
      </c>
      <c r="C14" s="6" t="n">
        <f aca="false">INDEX(Monthly!$C$40:$AL$40,12)</f>
        <v>181803.603447145</v>
      </c>
    </row>
    <row r="15" customFormat="false" ht="15" hidden="false" customHeight="false" outlineLevel="0" collapsed="false">
      <c r="A15" s="2" t="s">
        <v>21</v>
      </c>
      <c r="C15" s="6" t="n">
        <f aca="false">INDEX(Monthly!$C$40:$AL$40,36)</f>
        <v>655284.505091553</v>
      </c>
    </row>
    <row r="16" customFormat="false" ht="15" hidden="false" customHeight="false" outlineLevel="0" collapsed="false">
      <c r="A16" s="5" t="s">
        <v>22</v>
      </c>
    </row>
    <row r="17" customFormat="false" ht="15" hidden="false" customHeight="false" outlineLevel="0" collapsed="false">
      <c r="A17" s="2" t="s">
        <v>23</v>
      </c>
      <c r="C17" s="6" t="n">
        <f aca="false">Pricing!$C$26</f>
        <v>1424</v>
      </c>
    </row>
    <row r="18" customFormat="false" ht="15" hidden="false" customHeight="false" outlineLevel="0" collapsed="false">
      <c r="A18" s="2" t="s">
        <v>24</v>
      </c>
      <c r="C18" s="6" t="n">
        <f aca="false">Pricing!$C$27*(Assumptions!$F$18*(UnitCosts!$C$36+UnitCosts!$C$28)+UnitCosts!$C$37+Assumptions!$F$27)+Assumptions!$F$28</f>
        <v>238.65175</v>
      </c>
    </row>
    <row r="19" customFormat="false" ht="15" hidden="false" customHeight="false" outlineLevel="0" collapsed="false">
      <c r="A19" s="2" t="s">
        <v>25</v>
      </c>
      <c r="C19" s="9" t="n">
        <f aca="false">UnitCosts!$C$36</f>
        <v>5.521875</v>
      </c>
    </row>
    <row r="20" customFormat="false" ht="15" hidden="false" customHeight="false" outlineLevel="0" collapsed="false">
      <c r="A20" s="2" t="s">
        <v>26</v>
      </c>
      <c r="C20" s="6" t="n">
        <f aca="false">C17*(1-Assumptions!$F$26)-C18</f>
        <v>1144.05225</v>
      </c>
    </row>
    <row r="21" customFormat="false" ht="15" hidden="false" customHeight="false" outlineLevel="0" collapsed="false">
      <c r="A21" s="2" t="s">
        <v>27</v>
      </c>
      <c r="C21" s="10" t="n">
        <f aca="false">1/Assumptions!$F$12</f>
        <v>40</v>
      </c>
    </row>
    <row r="22" customFormat="false" ht="15" hidden="false" customHeight="false" outlineLevel="0" collapsed="false">
      <c r="A22" s="2" t="s">
        <v>28</v>
      </c>
      <c r="C22" s="6" t="n">
        <f aca="false">C20*C21</f>
        <v>45762.09</v>
      </c>
    </row>
    <row r="23" customFormat="false" ht="15" hidden="false" customHeight="false" outlineLevel="0" collapsed="false">
      <c r="A23" s="2" t="s">
        <v>29</v>
      </c>
      <c r="C23" s="6" t="n">
        <f aca="false">Assumptions!$F$21</f>
        <v>4000</v>
      </c>
    </row>
    <row r="24" customFormat="false" ht="15" hidden="false" customHeight="false" outlineLevel="0" collapsed="false">
      <c r="A24" s="2" t="s">
        <v>30</v>
      </c>
      <c r="C24" s="11" t="n">
        <f aca="false">IFERROR(C22/C23,0)</f>
        <v>11.4405225</v>
      </c>
    </row>
    <row r="25" customFormat="false" ht="15" hidden="false" customHeight="false" outlineLevel="0" collapsed="false">
      <c r="A25" s="2" t="s">
        <v>31</v>
      </c>
      <c r="C25" s="10" t="n">
        <f aca="false">IFERROR(C23/C20,0)</f>
        <v>3.49634380772382</v>
      </c>
    </row>
    <row r="26" customFormat="false" ht="15" hidden="false" customHeight="false" outlineLevel="0" collapsed="false">
      <c r="A26" s="5" t="s">
        <v>32</v>
      </c>
    </row>
    <row r="27" customFormat="false" ht="15" hidden="false" customHeight="false" outlineLevel="0" collapsed="false">
      <c r="A27" s="2" t="s">
        <v>33</v>
      </c>
      <c r="C27" s="12" t="n">
        <f aca="false">IF(MIN(Monthly!$C$42:$AL$42)=999,"Beyond month 36",MIN(Monthly!$C$42:$AL$42))</f>
        <v>30</v>
      </c>
    </row>
    <row r="28" customFormat="false" ht="15" hidden="false" customHeight="false" outlineLevel="0" collapsed="false">
      <c r="A28" s="2" t="s">
        <v>34</v>
      </c>
      <c r="C28" s="8" t="str">
        <f aca="false">IF(MIN(Monthly!$C$43:$AL$43)=999,"Beyond month 36",MIN(Monthly!$C$43:$AL$43))</f>
        <v>Beyond month 36</v>
      </c>
    </row>
    <row r="29" customFormat="false" ht="15" hidden="false" customHeight="false" outlineLevel="0" collapsed="false">
      <c r="A29" s="2" t="s">
        <v>35</v>
      </c>
      <c r="C29" s="8" t="n">
        <f aca="false">INDEX(Monthly!$C$11:$AL$11,12)</f>
        <v>41.5889155382063</v>
      </c>
    </row>
    <row r="30" customFormat="false" ht="15" hidden="false" customHeight="false" outlineLevel="0" collapsed="false">
      <c r="A30" s="2" t="s">
        <v>36</v>
      </c>
      <c r="C30" s="8" t="n">
        <f aca="false">INDEX(Monthly!$C$11:$AL$11,24)</f>
        <v>192.115915090062</v>
      </c>
    </row>
    <row r="31" customFormat="false" ht="15" hidden="false" customHeight="false" outlineLevel="0" collapsed="false">
      <c r="A31" s="2" t="s">
        <v>37</v>
      </c>
      <c r="C31" s="8" t="n">
        <f aca="false">INDEX(Monthly!$C$11:$AL$11,36)</f>
        <v>548.272719473949</v>
      </c>
    </row>
    <row r="32" customFormat="false" ht="15" hidden="false" customHeight="false" outlineLevel="0" collapsed="false">
      <c r="A32" s="2" t="s">
        <v>38</v>
      </c>
      <c r="C32" s="7" t="n">
        <f aca="false">INDEX(Monthly!$C$14:$AL$14,36)*12</f>
        <v>9368884.23037084</v>
      </c>
    </row>
    <row r="33" customFormat="false" ht="15" hidden="false" customHeight="false" outlineLevel="0" collapsed="false">
      <c r="A33" s="5" t="s">
        <v>39</v>
      </c>
    </row>
    <row r="34" customFormat="false" ht="15" hidden="false" customHeight="false" outlineLevel="0" collapsed="false">
      <c r="A34" s="2" t="s">
        <v>40</v>
      </c>
      <c r="C34" s="6" t="n">
        <f aca="false">SUMIF(Monthly!$C$5:$AL$5,1,Monthly!$C$16:$AL$16)</f>
        <v>222754.049463906</v>
      </c>
    </row>
    <row r="35" customFormat="false" ht="15" hidden="false" customHeight="false" outlineLevel="0" collapsed="false">
      <c r="A35" s="2" t="s">
        <v>41</v>
      </c>
      <c r="C35" s="6" t="n">
        <f aca="false">SUMIF(Monthly!$C$5:$AL$5,2,Monthly!$C$16:$AL$16)</f>
        <v>2036095.1315148</v>
      </c>
    </row>
    <row r="36" customFormat="false" ht="15" hidden="false" customHeight="false" outlineLevel="0" collapsed="false">
      <c r="A36" s="2" t="s">
        <v>42</v>
      </c>
      <c r="C36" s="6" t="n">
        <f aca="false">SUMIF(Monthly!$C$5:$AL$5,3,Monthly!$C$16:$AL$16)</f>
        <v>6398774.37877912</v>
      </c>
    </row>
    <row r="37" customFormat="false" ht="15" hidden="false" customHeight="false" outlineLevel="0" collapsed="false">
      <c r="A37" s="2" t="s">
        <v>43</v>
      </c>
      <c r="C37" s="6" t="n">
        <f aca="false">SUMIF(Monthly!$C$5:$AL$5,1,Monthly!$C$38:$AL$38)</f>
        <v>-1507608.43597769</v>
      </c>
    </row>
    <row r="38" customFormat="false" ht="15" hidden="false" customHeight="false" outlineLevel="0" collapsed="false">
      <c r="A38" s="2" t="s">
        <v>44</v>
      </c>
      <c r="C38" s="6" t="n">
        <f aca="false">SUMIF(Monthly!$C$5:$AL$5,2,Monthly!$C$38:$AL$38)</f>
        <v>-1431517.5743666</v>
      </c>
    </row>
    <row r="39" customFormat="false" ht="15" hidden="false" customHeight="false" outlineLevel="0" collapsed="false">
      <c r="A39" s="2" t="s">
        <v>45</v>
      </c>
      <c r="C39" s="6" t="n">
        <f aca="false">SUMIF(Monthly!$C$5:$AL$5,3,Monthly!$C$38:$AL$38)</f>
        <v>386178.156675261</v>
      </c>
    </row>
    <row r="40" customFormat="false" ht="15" hidden="false" customHeight="false" outlineLevel="0" collapsed="false">
      <c r="A40" s="2" t="s">
        <v>46</v>
      </c>
      <c r="C40" s="13" t="n">
        <f aca="false">IFERROR(SUMIF(Monthly!$C$5:$AL$5,3,Monthly!$C$25:$AL$25)/SUMIF(Monthly!$C$5:$AL$5,3,Monthly!$C$16:$AL$16),0)</f>
        <v>0.699785475870486</v>
      </c>
    </row>
    <row r="41" customFormat="false" ht="15" hidden="false" customHeight="false" outlineLevel="0" collapsed="false">
      <c r="A41" s="5" t="s">
        <v>47</v>
      </c>
    </row>
    <row r="42" customFormat="false" ht="15" hidden="false" customHeight="false" outlineLevel="0" collapsed="false">
      <c r="A42" s="2" t="s">
        <v>48</v>
      </c>
      <c r="C42" s="13" t="n">
        <f aca="false">Pricing!$C$16</f>
        <v>0.0221777777777778</v>
      </c>
    </row>
    <row r="43" customFormat="false" ht="15" hidden="false" customHeight="false" outlineLevel="0" collapsed="false">
      <c r="A43" s="2" t="s">
        <v>49</v>
      </c>
      <c r="C43" s="13" t="n">
        <f aca="false">Pricing!$D$16</f>
        <v>0.0187375</v>
      </c>
    </row>
    <row r="44" customFormat="false" ht="15" hidden="false" customHeight="false" outlineLevel="0" collapsed="false">
      <c r="A44" s="2" t="s">
        <v>50</v>
      </c>
      <c r="C44" s="13" t="n">
        <f aca="false">Pricing!$E$16</f>
        <v>0.019995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3" style="0" width="14"/>
    <col collapsed="false" customWidth="true" hidden="false" outlineLevel="0" max="7" min="7" style="0" width="80"/>
  </cols>
  <sheetData>
    <row r="1" customFormat="false" ht="17.35" hidden="false" customHeight="false" outlineLevel="0" collapsed="false">
      <c r="A1" s="1" t="s">
        <v>51</v>
      </c>
    </row>
    <row r="2" customFormat="false" ht="15" hidden="false" customHeight="false" outlineLevel="0" collapsed="false">
      <c r="A2" s="3" t="s">
        <v>52</v>
      </c>
    </row>
    <row r="3" customFormat="false" ht="15" hidden="false" customHeight="false" outlineLevel="0" collapsed="false">
      <c r="A3" s="14" t="s">
        <v>53</v>
      </c>
      <c r="F3" s="15" t="n">
        <v>2</v>
      </c>
      <c r="G3" s="2" t="str">
        <f aca="false">CHOOSE($F$3,"Conservative","Base","Aggressive")</f>
        <v>Base</v>
      </c>
    </row>
    <row r="5" customFormat="false" ht="15" hidden="false" customHeight="false" outlineLevel="0" collapsed="false">
      <c r="A5" s="5" t="s">
        <v>54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59</v>
      </c>
    </row>
    <row r="6" customFormat="false" ht="15" hidden="false" customHeight="false" outlineLevel="0" collapsed="false">
      <c r="A6" s="14" t="s">
        <v>60</v>
      </c>
    </row>
    <row r="7" customFormat="false" ht="15" hidden="false" customHeight="false" outlineLevel="0" collapsed="false">
      <c r="A7" s="2" t="s">
        <v>61</v>
      </c>
      <c r="C7" s="16" t="n">
        <v>8</v>
      </c>
      <c r="D7" s="16" t="n">
        <v>7</v>
      </c>
      <c r="E7" s="16" t="n">
        <v>6</v>
      </c>
      <c r="F7" s="8" t="n">
        <f aca="false">CHOOSE($F$3,C7,D7,E7)</f>
        <v>7</v>
      </c>
      <c r="G7" s="3" t="s">
        <v>62</v>
      </c>
    </row>
    <row r="8" customFormat="false" ht="15" hidden="false" customHeight="false" outlineLevel="0" collapsed="false">
      <c r="A8" s="14" t="s">
        <v>63</v>
      </c>
    </row>
    <row r="9" customFormat="false" ht="15" hidden="false" customHeight="false" outlineLevel="0" collapsed="false">
      <c r="A9" s="2" t="s">
        <v>64</v>
      </c>
      <c r="C9" s="17" t="n">
        <v>4</v>
      </c>
      <c r="D9" s="17" t="n">
        <v>6</v>
      </c>
      <c r="E9" s="17" t="n">
        <v>10</v>
      </c>
      <c r="F9" s="10" t="n">
        <f aca="false">CHOOSE($F$3,C9,D9,E9)</f>
        <v>6</v>
      </c>
      <c r="G9" s="3" t="s">
        <v>65</v>
      </c>
    </row>
    <row r="10" customFormat="false" ht="15" hidden="false" customHeight="false" outlineLevel="0" collapsed="false">
      <c r="A10" s="2" t="s">
        <v>66</v>
      </c>
      <c r="C10" s="18" t="n">
        <v>0.05</v>
      </c>
      <c r="D10" s="18" t="n">
        <v>0.08</v>
      </c>
      <c r="E10" s="18" t="n">
        <v>0.1</v>
      </c>
      <c r="F10" s="13" t="n">
        <f aca="false">CHOOSE($F$3,C10,D10,E10)</f>
        <v>0.08</v>
      </c>
      <c r="G10" s="3" t="s">
        <v>67</v>
      </c>
    </row>
    <row r="11" customFormat="false" ht="15" hidden="false" customHeight="false" outlineLevel="0" collapsed="false">
      <c r="A11" s="2" t="s">
        <v>68</v>
      </c>
      <c r="C11" s="16" t="n">
        <v>50</v>
      </c>
      <c r="D11" s="16" t="n">
        <v>90</v>
      </c>
      <c r="E11" s="16" t="n">
        <v>150</v>
      </c>
      <c r="F11" s="8" t="n">
        <f aca="false">CHOOSE($F$3,C11,D11,E11)</f>
        <v>90</v>
      </c>
      <c r="G11" s="3" t="s">
        <v>69</v>
      </c>
    </row>
    <row r="12" customFormat="false" ht="15" hidden="false" customHeight="false" outlineLevel="0" collapsed="false">
      <c r="A12" s="2" t="s">
        <v>70</v>
      </c>
      <c r="C12" s="18" t="n">
        <v>0.035</v>
      </c>
      <c r="D12" s="18" t="n">
        <v>0.025</v>
      </c>
      <c r="E12" s="18" t="n">
        <v>0.018</v>
      </c>
      <c r="F12" s="13" t="n">
        <f aca="false">CHOOSE($F$3,C12,D12,E12)</f>
        <v>0.025</v>
      </c>
      <c r="G12" s="3" t="s">
        <v>71</v>
      </c>
    </row>
    <row r="13" customFormat="false" ht="15" hidden="false" customHeight="false" outlineLevel="0" collapsed="false">
      <c r="A13" s="14" t="s">
        <v>72</v>
      </c>
    </row>
    <row r="14" customFormat="false" ht="15" hidden="false" customHeight="false" outlineLevel="0" collapsed="false">
      <c r="A14" s="2" t="s">
        <v>73</v>
      </c>
      <c r="C14" s="18" t="n">
        <v>0.5</v>
      </c>
      <c r="D14" s="18" t="n">
        <v>0.45</v>
      </c>
      <c r="E14" s="18" t="n">
        <v>0.4</v>
      </c>
      <c r="F14" s="13" t="n">
        <f aca="false">CHOOSE($F$3,C14,D14,E14)</f>
        <v>0.45</v>
      </c>
      <c r="G14" s="3" t="s">
        <v>74</v>
      </c>
    </row>
    <row r="15" customFormat="false" ht="15" hidden="false" customHeight="false" outlineLevel="0" collapsed="false">
      <c r="A15" s="2" t="s">
        <v>75</v>
      </c>
      <c r="C15" s="18" t="n">
        <v>0.38</v>
      </c>
      <c r="D15" s="18" t="n">
        <v>0.4</v>
      </c>
      <c r="E15" s="18" t="n">
        <v>0.42</v>
      </c>
      <c r="F15" s="13" t="n">
        <f aca="false">CHOOSE($F$3,C15,D15,E15)</f>
        <v>0.4</v>
      </c>
      <c r="G15" s="3" t="s">
        <v>74</v>
      </c>
    </row>
    <row r="16" customFormat="false" ht="15" hidden="false" customHeight="false" outlineLevel="0" collapsed="false">
      <c r="A16" s="2" t="s">
        <v>76</v>
      </c>
      <c r="C16" s="18" t="n">
        <v>0.12</v>
      </c>
      <c r="D16" s="18" t="n">
        <v>0.15</v>
      </c>
      <c r="E16" s="18" t="n">
        <v>0.18</v>
      </c>
      <c r="F16" s="13" t="n">
        <f aca="false">CHOOSE($F$3,C16,D16,E16)</f>
        <v>0.15</v>
      </c>
      <c r="G16" s="3" t="s">
        <v>77</v>
      </c>
    </row>
    <row r="17" customFormat="false" ht="15" hidden="false" customHeight="false" outlineLevel="0" collapsed="false">
      <c r="A17" s="14" t="s">
        <v>78</v>
      </c>
    </row>
    <row r="18" customFormat="false" ht="15" hidden="false" customHeight="false" outlineLevel="0" collapsed="false">
      <c r="A18" s="2" t="s">
        <v>79</v>
      </c>
      <c r="C18" s="17" t="n">
        <v>10</v>
      </c>
      <c r="D18" s="17" t="n">
        <v>8</v>
      </c>
      <c r="E18" s="17" t="n">
        <v>8</v>
      </c>
      <c r="F18" s="10" t="n">
        <f aca="false">CHOOSE($F$3,C18,D18,E18)</f>
        <v>8</v>
      </c>
      <c r="G18" s="3" t="s">
        <v>80</v>
      </c>
    </row>
    <row r="19" customFormat="false" ht="15" hidden="false" customHeight="false" outlineLevel="0" collapsed="false">
      <c r="A19" s="14" t="s">
        <v>81</v>
      </c>
    </row>
    <row r="20" customFormat="false" ht="15" hidden="false" customHeight="false" outlineLevel="0" collapsed="false">
      <c r="A20" s="2" t="s">
        <v>82</v>
      </c>
      <c r="C20" s="16" t="n">
        <v>50</v>
      </c>
      <c r="D20" s="16" t="n">
        <v>60</v>
      </c>
      <c r="E20" s="16" t="n">
        <v>75</v>
      </c>
      <c r="F20" s="8" t="n">
        <f aca="false">CHOOSE($F$3,C20,D20,E20)</f>
        <v>60</v>
      </c>
      <c r="G20" s="3" t="s">
        <v>83</v>
      </c>
    </row>
    <row r="21" customFormat="false" ht="15" hidden="false" customHeight="false" outlineLevel="0" collapsed="false">
      <c r="A21" s="2" t="s">
        <v>84</v>
      </c>
      <c r="C21" s="19" t="n">
        <v>6000</v>
      </c>
      <c r="D21" s="19" t="n">
        <v>4000</v>
      </c>
      <c r="E21" s="19" t="n">
        <v>2500</v>
      </c>
      <c r="F21" s="6" t="n">
        <f aca="false">CHOOSE($F$3,C21,D21,E21)</f>
        <v>4000</v>
      </c>
      <c r="G21" s="3" t="s">
        <v>85</v>
      </c>
    </row>
    <row r="23" customFormat="false" ht="15" hidden="false" customHeight="false" outlineLevel="0" collapsed="false">
      <c r="A23" s="14" t="s">
        <v>86</v>
      </c>
    </row>
    <row r="24" customFormat="false" ht="15" hidden="false" customHeight="false" outlineLevel="0" collapsed="false">
      <c r="A24" s="2" t="s">
        <v>87</v>
      </c>
      <c r="F24" s="19" t="n">
        <v>8500</v>
      </c>
      <c r="G24" s="3" t="s">
        <v>88</v>
      </c>
    </row>
    <row r="25" customFormat="false" ht="15" hidden="false" customHeight="false" outlineLevel="0" collapsed="false">
      <c r="A25" s="2" t="s">
        <v>89</v>
      </c>
      <c r="F25" s="19" t="n">
        <v>5000</v>
      </c>
      <c r="G25" s="3" t="s">
        <v>90</v>
      </c>
    </row>
    <row r="26" customFormat="false" ht="15" hidden="false" customHeight="false" outlineLevel="0" collapsed="false">
      <c r="A26" s="2" t="s">
        <v>91</v>
      </c>
      <c r="F26" s="18" t="n">
        <v>0.029</v>
      </c>
      <c r="G26" s="3" t="s">
        <v>92</v>
      </c>
    </row>
    <row r="27" customFormat="false" ht="15" hidden="false" customHeight="false" outlineLevel="0" collapsed="false">
      <c r="A27" s="2" t="s">
        <v>93</v>
      </c>
      <c r="F27" s="19" t="n">
        <v>12</v>
      </c>
      <c r="G27" s="3" t="s">
        <v>94</v>
      </c>
    </row>
    <row r="28" customFormat="false" ht="15" hidden="false" customHeight="false" outlineLevel="0" collapsed="false">
      <c r="A28" s="2" t="s">
        <v>95</v>
      </c>
      <c r="F28" s="19" t="n">
        <v>1</v>
      </c>
      <c r="G28" s="3" t="s">
        <v>96</v>
      </c>
    </row>
    <row r="29" customFormat="false" ht="15" hidden="false" customHeight="false" outlineLevel="0" collapsed="false">
      <c r="A29" s="2" t="s">
        <v>97</v>
      </c>
      <c r="F29" s="18" t="n">
        <v>0.4</v>
      </c>
      <c r="G29" s="3" t="s">
        <v>98</v>
      </c>
    </row>
    <row r="30" customFormat="false" ht="15" hidden="false" customHeight="false" outlineLevel="0" collapsed="false">
      <c r="A30" s="2" t="s">
        <v>99</v>
      </c>
      <c r="F30" s="19" t="n">
        <v>2500</v>
      </c>
      <c r="G30" s="3" t="s">
        <v>100</v>
      </c>
    </row>
    <row r="31" customFormat="false" ht="15" hidden="false" customHeight="false" outlineLevel="0" collapsed="false">
      <c r="A31" s="2" t="s">
        <v>101</v>
      </c>
      <c r="F31" s="19" t="n">
        <v>4500</v>
      </c>
      <c r="G31" s="3" t="s">
        <v>102</v>
      </c>
    </row>
    <row r="32" customFormat="false" ht="15" hidden="false" customHeight="false" outlineLevel="0" collapsed="false">
      <c r="A32" s="2" t="s">
        <v>103</v>
      </c>
      <c r="F32" s="19" t="n">
        <v>5000</v>
      </c>
      <c r="G32" s="3" t="s">
        <v>104</v>
      </c>
    </row>
    <row r="33" customFormat="false" ht="15" hidden="false" customHeight="false" outlineLevel="0" collapsed="false">
      <c r="A33" s="2" t="s">
        <v>105</v>
      </c>
      <c r="F33" s="16" t="n">
        <v>13</v>
      </c>
      <c r="G33" s="3" t="s">
        <v>106</v>
      </c>
    </row>
    <row r="34" customFormat="false" ht="15" hidden="false" customHeight="false" outlineLevel="0" collapsed="false">
      <c r="A34" s="2" t="s">
        <v>107</v>
      </c>
      <c r="F34" s="16" t="n">
        <v>1</v>
      </c>
      <c r="G34" s="3" t="s">
        <v>108</v>
      </c>
    </row>
    <row r="35" customFormat="false" ht="15" hidden="false" customHeight="false" outlineLevel="0" collapsed="false">
      <c r="A35" s="2" t="s">
        <v>109</v>
      </c>
      <c r="F35" s="19" t="n">
        <v>3000</v>
      </c>
      <c r="G35" s="3" t="s">
        <v>102</v>
      </c>
    </row>
    <row r="37" customFormat="false" ht="15" hidden="false" customHeight="false" outlineLevel="0" collapsed="false">
      <c r="A37" s="2" t="s">
        <v>110</v>
      </c>
      <c r="F37" s="13" t="n">
        <f aca="false">Assumptions!$F$14+Assumptions!$F$15+Assumptions!$F$16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3" style="0" width="24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3" t="s">
        <v>112</v>
      </c>
    </row>
    <row r="4" customFormat="false" ht="15" hidden="false" customHeight="false" outlineLevel="0" collapsed="false">
      <c r="A4" s="5" t="s">
        <v>113</v>
      </c>
      <c r="C4" s="5" t="s">
        <v>114</v>
      </c>
      <c r="D4" s="5" t="s">
        <v>115</v>
      </c>
      <c r="E4" s="5" t="s">
        <v>116</v>
      </c>
    </row>
    <row r="5" customFormat="false" ht="26.85" hidden="false" customHeight="false" outlineLevel="0" collapsed="false">
      <c r="A5" s="2" t="s">
        <v>117</v>
      </c>
      <c r="C5" s="20" t="s">
        <v>118</v>
      </c>
      <c r="D5" s="20" t="s">
        <v>119</v>
      </c>
      <c r="E5" s="20" t="s">
        <v>120</v>
      </c>
    </row>
    <row r="6" customFormat="false" ht="15" hidden="false" customHeight="false" outlineLevel="0" collapsed="false">
      <c r="A6" s="2" t="s">
        <v>121</v>
      </c>
      <c r="C6" s="16" t="n">
        <v>1</v>
      </c>
      <c r="D6" s="16" t="n">
        <v>3</v>
      </c>
      <c r="E6" s="16" t="n">
        <v>10</v>
      </c>
    </row>
    <row r="7" customFormat="false" ht="15" hidden="false" customHeight="false" outlineLevel="0" collapsed="false">
      <c r="A7" s="2" t="s">
        <v>122</v>
      </c>
      <c r="C7" s="19" t="n">
        <v>1500000</v>
      </c>
      <c r="D7" s="19" t="n">
        <v>2000000</v>
      </c>
      <c r="E7" s="19" t="n">
        <v>2500000</v>
      </c>
    </row>
    <row r="8" customFormat="false" ht="15" hidden="false" customHeight="false" outlineLevel="0" collapsed="false">
      <c r="A8" s="2" t="s">
        <v>123</v>
      </c>
      <c r="C8" s="21" t="n">
        <v>0.01</v>
      </c>
      <c r="D8" s="21" t="n">
        <v>0.01</v>
      </c>
      <c r="E8" s="21" t="n">
        <v>0.01</v>
      </c>
    </row>
    <row r="9" customFormat="false" ht="15" hidden="false" customHeight="false" outlineLevel="0" collapsed="false">
      <c r="A9" s="2" t="s">
        <v>124</v>
      </c>
      <c r="C9" s="17" t="n">
        <v>1.5</v>
      </c>
      <c r="D9" s="17" t="n">
        <v>4</v>
      </c>
      <c r="E9" s="17" t="n">
        <v>8</v>
      </c>
    </row>
    <row r="10" customFormat="false" ht="15" hidden="false" customHeight="false" outlineLevel="0" collapsed="false">
      <c r="A10" s="2" t="s">
        <v>125</v>
      </c>
      <c r="C10" s="6" t="n">
        <f aca="false">C7*C8*C9</f>
        <v>22500</v>
      </c>
      <c r="D10" s="6" t="n">
        <f aca="false">D7*D8*D9</f>
        <v>80000</v>
      </c>
      <c r="E10" s="6" t="n">
        <f aca="false">E7*E8*E9</f>
        <v>200000</v>
      </c>
    </row>
    <row r="11" customFormat="false" ht="15" hidden="false" customHeight="false" outlineLevel="0" collapsed="false">
      <c r="A11" s="2" t="s">
        <v>79</v>
      </c>
      <c r="C11" s="22" t="n">
        <f aca="false">Assumptions!$F$18</f>
        <v>8</v>
      </c>
      <c r="D11" s="22" t="n">
        <f aca="false">Assumptions!$F$18</f>
        <v>8</v>
      </c>
      <c r="E11" s="22" t="n">
        <f aca="false">Assumptions!$F$18</f>
        <v>8</v>
      </c>
    </row>
    <row r="12" customFormat="false" ht="15" hidden="false" customHeight="false" outlineLevel="0" collapsed="false">
      <c r="A12" s="2" t="s">
        <v>126</v>
      </c>
      <c r="C12" s="17" t="n">
        <v>6</v>
      </c>
      <c r="D12" s="17" t="n">
        <v>6</v>
      </c>
      <c r="E12" s="17" t="n">
        <v>6</v>
      </c>
    </row>
    <row r="13" customFormat="false" ht="15" hidden="false" customHeight="false" outlineLevel="0" collapsed="false">
      <c r="A13" s="2" t="s">
        <v>127</v>
      </c>
      <c r="C13" s="19" t="n">
        <v>75</v>
      </c>
      <c r="D13" s="19" t="n">
        <v>75</v>
      </c>
      <c r="E13" s="19" t="n">
        <v>75</v>
      </c>
    </row>
    <row r="14" customFormat="false" ht="15" hidden="false" customHeight="false" outlineLevel="0" collapsed="false">
      <c r="A14" s="2" t="s">
        <v>128</v>
      </c>
      <c r="C14" s="6" t="n">
        <f aca="false">C6*C11*C12*C13</f>
        <v>3600</v>
      </c>
      <c r="D14" s="6" t="n">
        <f aca="false">D6*D11*D12*D13</f>
        <v>10800</v>
      </c>
      <c r="E14" s="6" t="n">
        <f aca="false">E6*E11*E12*E13</f>
        <v>36000</v>
      </c>
    </row>
    <row r="15" customFormat="false" ht="15" hidden="false" customHeight="false" outlineLevel="0" collapsed="false">
      <c r="A15" s="2" t="s">
        <v>129</v>
      </c>
      <c r="C15" s="23" t="n">
        <v>499</v>
      </c>
      <c r="D15" s="23" t="n">
        <v>1499</v>
      </c>
      <c r="E15" s="23" t="n">
        <v>3999</v>
      </c>
    </row>
    <row r="16" customFormat="false" ht="15" hidden="false" customHeight="false" outlineLevel="0" collapsed="false">
      <c r="A16" s="2" t="s">
        <v>130</v>
      </c>
      <c r="C16" s="13" t="n">
        <f aca="false">IFERROR(C15/C10,0)</f>
        <v>0.0221777777777778</v>
      </c>
      <c r="D16" s="13" t="n">
        <f aca="false">IFERROR(D15/D10,0)</f>
        <v>0.0187375</v>
      </c>
      <c r="E16" s="13" t="n">
        <f aca="false">IFERROR(E15/E10,0)</f>
        <v>0.019995</v>
      </c>
    </row>
    <row r="17" customFormat="false" ht="15" hidden="false" customHeight="false" outlineLevel="0" collapsed="false">
      <c r="A17" s="2" t="s">
        <v>131</v>
      </c>
      <c r="C17" s="11" t="n">
        <f aca="false">IFERROR(C14/C15,0)</f>
        <v>7.21442885771543</v>
      </c>
      <c r="D17" s="11" t="n">
        <f aca="false">IFERROR(D14/D15,0)</f>
        <v>7.20480320213476</v>
      </c>
      <c r="E17" s="11" t="n">
        <f aca="false">IFERROR(E14/E15,0)</f>
        <v>9.00225056264066</v>
      </c>
    </row>
    <row r="18" customFormat="false" ht="15" hidden="false" customHeight="false" outlineLevel="0" collapsed="false">
      <c r="A18" s="2" t="s">
        <v>132</v>
      </c>
      <c r="C18" s="6" t="n">
        <f aca="false">C10*$C$23</f>
        <v>675</v>
      </c>
      <c r="D18" s="6" t="n">
        <f aca="false">D10*$C$23</f>
        <v>2400</v>
      </c>
      <c r="E18" s="6" t="n">
        <f aca="false">E10*$C$23</f>
        <v>6000</v>
      </c>
    </row>
    <row r="19" customFormat="false" ht="15" hidden="false" customHeight="false" outlineLevel="0" collapsed="false">
      <c r="A19" s="2" t="s">
        <v>133</v>
      </c>
      <c r="C19" s="19" t="n">
        <v>0</v>
      </c>
      <c r="D19" s="19" t="n">
        <v>500</v>
      </c>
      <c r="E19" s="19" t="n">
        <v>2500</v>
      </c>
    </row>
    <row r="20" customFormat="false" ht="15" hidden="false" customHeight="false" outlineLevel="0" collapsed="false">
      <c r="A20" s="2" t="s">
        <v>134</v>
      </c>
      <c r="C20" s="24" t="n">
        <f aca="false">Assumptions!$F$14</f>
        <v>0.45</v>
      </c>
      <c r="D20" s="24" t="n">
        <f aca="false">Assumptions!$F$15</f>
        <v>0.4</v>
      </c>
      <c r="E20" s="24" t="n">
        <f aca="false">Assumptions!$F$16</f>
        <v>0.15</v>
      </c>
    </row>
    <row r="23" customFormat="false" ht="15" hidden="false" customHeight="false" outlineLevel="0" collapsed="false">
      <c r="A23" s="2" t="s">
        <v>135</v>
      </c>
      <c r="C23" s="25" t="n">
        <v>0.03</v>
      </c>
    </row>
    <row r="25" customFormat="false" ht="15" hidden="false" customHeight="false" outlineLevel="0" collapsed="false">
      <c r="A25" s="14" t="s">
        <v>136</v>
      </c>
    </row>
    <row r="26" customFormat="false" ht="15" hidden="false" customHeight="false" outlineLevel="0" collapsed="false">
      <c r="A26" s="2" t="s">
        <v>137</v>
      </c>
      <c r="C26" s="6" t="n">
        <f aca="false">SUMPRODUCT(C15:E15,C20:E20)</f>
        <v>1424</v>
      </c>
    </row>
    <row r="27" customFormat="false" ht="15" hidden="false" customHeight="false" outlineLevel="0" collapsed="false">
      <c r="A27" s="2" t="s">
        <v>138</v>
      </c>
      <c r="C27" s="10" t="n">
        <f aca="false">SUMPRODUCT(C6:E6,C20:E20)</f>
        <v>3.15</v>
      </c>
    </row>
    <row r="28" customFormat="false" ht="15" hidden="false" customHeight="false" outlineLevel="0" collapsed="false">
      <c r="A28" s="2" t="s">
        <v>139</v>
      </c>
      <c r="C28" s="6" t="n">
        <f aca="false">SUMPRODUCT(C19:E19,C20:E20)</f>
        <v>575</v>
      </c>
    </row>
    <row r="30" customFormat="false" ht="15" hidden="false" customHeight="false" outlineLevel="0" collapsed="false">
      <c r="A30" s="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3" t="s">
        <v>142</v>
      </c>
    </row>
    <row r="4" customFormat="false" ht="15" hidden="false" customHeight="false" outlineLevel="0" collapsed="false">
      <c r="A4" s="14" t="s">
        <v>143</v>
      </c>
    </row>
    <row r="5" customFormat="false" ht="15" hidden="false" customHeight="false" outlineLevel="0" collapsed="false">
      <c r="A5" s="2" t="s">
        <v>144</v>
      </c>
      <c r="C5" s="26" t="n">
        <v>4</v>
      </c>
    </row>
    <row r="6" customFormat="false" ht="15" hidden="false" customHeight="false" outlineLevel="0" collapsed="false">
      <c r="A6" s="2" t="s">
        <v>145</v>
      </c>
      <c r="C6" s="26" t="n">
        <v>20</v>
      </c>
    </row>
    <row r="7" customFormat="false" ht="15" hidden="false" customHeight="false" outlineLevel="0" collapsed="false">
      <c r="A7" s="2" t="s">
        <v>146</v>
      </c>
      <c r="C7" s="26" t="n">
        <v>0.2</v>
      </c>
    </row>
    <row r="8" customFormat="false" ht="15" hidden="false" customHeight="false" outlineLevel="0" collapsed="false">
      <c r="A8" s="2" t="s">
        <v>147</v>
      </c>
      <c r="C8" s="26" t="n">
        <v>2</v>
      </c>
    </row>
    <row r="9" customFormat="false" ht="15" hidden="false" customHeight="false" outlineLevel="0" collapsed="false">
      <c r="A9" s="2" t="s">
        <v>148</v>
      </c>
      <c r="C9" s="26" t="n">
        <v>10</v>
      </c>
    </row>
    <row r="10" customFormat="false" ht="15" hidden="false" customHeight="false" outlineLevel="0" collapsed="false">
      <c r="A10" s="2" t="s">
        <v>149</v>
      </c>
      <c r="C10" s="26" t="n">
        <v>0.2</v>
      </c>
    </row>
    <row r="11" customFormat="false" ht="15" hidden="false" customHeight="false" outlineLevel="0" collapsed="false">
      <c r="A11" s="2" t="s">
        <v>150</v>
      </c>
      <c r="C11" s="26" t="n">
        <v>0.1</v>
      </c>
    </row>
    <row r="12" customFormat="false" ht="15" hidden="false" customHeight="false" outlineLevel="0" collapsed="false">
      <c r="A12" s="2" t="s">
        <v>151</v>
      </c>
      <c r="C12" s="26" t="n">
        <v>0.5</v>
      </c>
    </row>
    <row r="13" customFormat="false" ht="15" hidden="false" customHeight="false" outlineLevel="0" collapsed="false">
      <c r="A13" s="2" t="s">
        <v>152</v>
      </c>
      <c r="C13" s="27" t="n">
        <v>1.25</v>
      </c>
    </row>
    <row r="14" customFormat="false" ht="15" hidden="false" customHeight="false" outlineLevel="0" collapsed="false">
      <c r="A14" s="14" t="s">
        <v>153</v>
      </c>
    </row>
    <row r="15" customFormat="false" ht="15" hidden="false" customHeight="false" outlineLevel="0" collapsed="false">
      <c r="A15" s="2" t="s">
        <v>154</v>
      </c>
      <c r="C15" s="16" t="n">
        <v>250</v>
      </c>
    </row>
    <row r="16" customFormat="false" ht="15" hidden="false" customHeight="false" outlineLevel="0" collapsed="false">
      <c r="A16" s="2" t="s">
        <v>155</v>
      </c>
      <c r="C16" s="16" t="n">
        <v>1500</v>
      </c>
    </row>
    <row r="17" customFormat="false" ht="15" hidden="false" customHeight="false" outlineLevel="0" collapsed="false">
      <c r="A17" s="2" t="s">
        <v>156</v>
      </c>
      <c r="C17" s="16" t="n">
        <v>40000</v>
      </c>
    </row>
    <row r="18" customFormat="false" ht="15" hidden="false" customHeight="false" outlineLevel="0" collapsed="false">
      <c r="A18" s="2" t="s">
        <v>157</v>
      </c>
      <c r="C18" s="9" t="n">
        <f aca="false">$C$15*$C$16/1000000*$C$11+$C$17/1000000*$C$12</f>
        <v>0.0575</v>
      </c>
    </row>
    <row r="19" customFormat="false" ht="15" hidden="false" customHeight="false" outlineLevel="0" collapsed="false">
      <c r="A19" s="14" t="s">
        <v>158</v>
      </c>
    </row>
    <row r="20" customFormat="false" ht="15" hidden="false" customHeight="false" outlineLevel="0" collapsed="false">
      <c r="A20" s="2" t="s">
        <v>159</v>
      </c>
      <c r="C20" s="16" t="n">
        <v>25</v>
      </c>
    </row>
    <row r="21" customFormat="false" ht="15" hidden="false" customHeight="false" outlineLevel="0" collapsed="false">
      <c r="A21" s="2" t="s">
        <v>160</v>
      </c>
      <c r="C21" s="16" t="n">
        <v>120000</v>
      </c>
    </row>
    <row r="22" customFormat="false" ht="15" hidden="false" customHeight="false" outlineLevel="0" collapsed="false">
      <c r="A22" s="2" t="s">
        <v>161</v>
      </c>
      <c r="C22" s="18" t="n">
        <v>0.85</v>
      </c>
    </row>
    <row r="23" customFormat="false" ht="15" hidden="false" customHeight="false" outlineLevel="0" collapsed="false">
      <c r="A23" s="2" t="s">
        <v>162</v>
      </c>
      <c r="C23" s="16" t="n">
        <v>80000</v>
      </c>
    </row>
    <row r="24" customFormat="false" ht="15" hidden="false" customHeight="false" outlineLevel="0" collapsed="false">
      <c r="A24" s="2" t="s">
        <v>163</v>
      </c>
      <c r="C24" s="9" t="n">
        <f aca="false">$C$20*$C$21/1000000*($C$22*$C$7+(1-$C$22)*$C$5*$C$13)+$C$23/1000000*$C$6</f>
        <v>4.36</v>
      </c>
    </row>
    <row r="25" customFormat="false" ht="15" hidden="false" customHeight="false" outlineLevel="0" collapsed="false">
      <c r="A25" s="14" t="s">
        <v>164</v>
      </c>
    </row>
    <row r="26" customFormat="false" ht="15" hidden="false" customHeight="false" outlineLevel="0" collapsed="false">
      <c r="A26" s="2" t="s">
        <v>165</v>
      </c>
      <c r="C26" s="18" t="n">
        <v>0.4</v>
      </c>
    </row>
    <row r="27" customFormat="false" ht="15" hidden="false" customHeight="false" outlineLevel="0" collapsed="false">
      <c r="A27" s="2" t="s">
        <v>166</v>
      </c>
      <c r="C27" s="28" t="n">
        <v>0.015</v>
      </c>
    </row>
    <row r="28" customFormat="false" ht="15" hidden="false" customHeight="false" outlineLevel="0" collapsed="false">
      <c r="A28" s="2" t="s">
        <v>167</v>
      </c>
      <c r="C28" s="9" t="n">
        <f aca="false">$C$15*$C$26*$C$27</f>
        <v>1.5</v>
      </c>
    </row>
    <row r="29" customFormat="false" ht="15" hidden="false" customHeight="false" outlineLevel="0" collapsed="false">
      <c r="A29" s="14" t="s">
        <v>168</v>
      </c>
    </row>
    <row r="30" customFormat="false" ht="15" hidden="false" customHeight="false" outlineLevel="0" collapsed="false">
      <c r="A30" s="2" t="s">
        <v>169</v>
      </c>
      <c r="C30" s="16" t="n">
        <v>80</v>
      </c>
    </row>
    <row r="31" customFormat="false" ht="15" hidden="false" customHeight="false" outlineLevel="0" collapsed="false">
      <c r="A31" s="2" t="s">
        <v>170</v>
      </c>
      <c r="C31" s="16" t="n">
        <v>60000</v>
      </c>
    </row>
    <row r="32" customFormat="false" ht="15" hidden="false" customHeight="false" outlineLevel="0" collapsed="false">
      <c r="A32" s="2" t="s">
        <v>171</v>
      </c>
      <c r="C32" s="16" t="n">
        <v>4000</v>
      </c>
    </row>
    <row r="33" customFormat="false" ht="15" hidden="false" customHeight="false" outlineLevel="0" collapsed="false">
      <c r="A33" s="2" t="s">
        <v>172</v>
      </c>
      <c r="C33" s="9" t="n">
        <f aca="false">$C$30*($C$31/1000000*($C$22*$C$10+(1-$C$22)*$C$8*$C$13)+$C$32/1000000*$C$9)</f>
        <v>5.816</v>
      </c>
    </row>
    <row r="34" customFormat="false" ht="15" hidden="false" customHeight="false" outlineLevel="0" collapsed="false">
      <c r="A34" s="14" t="s">
        <v>173</v>
      </c>
    </row>
    <row r="35" customFormat="false" ht="15" hidden="false" customHeight="false" outlineLevel="0" collapsed="false">
      <c r="A35" s="2" t="s">
        <v>174</v>
      </c>
      <c r="C35" s="18" t="n">
        <v>0.25</v>
      </c>
    </row>
    <row r="36" customFormat="false" ht="15" hidden="false" customHeight="false" outlineLevel="0" collapsed="false">
      <c r="A36" s="2" t="s">
        <v>175</v>
      </c>
      <c r="C36" s="9" t="n">
        <f aca="false">($C$18+$C$24)*(1+$C$35)</f>
        <v>5.521875</v>
      </c>
    </row>
    <row r="37" customFormat="false" ht="15" hidden="false" customHeight="false" outlineLevel="0" collapsed="false">
      <c r="A37" s="2" t="s">
        <v>176</v>
      </c>
      <c r="C37" s="9" t="n">
        <f aca="false">$C$33*(1+$C$35)</f>
        <v>7.27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3" style="0" width="14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3" t="s">
        <v>178</v>
      </c>
    </row>
    <row r="4" customFormat="false" ht="15" hidden="false" customHeight="false" outlineLevel="0" collapsed="false">
      <c r="A4" s="5" t="s">
        <v>179</v>
      </c>
      <c r="C4" s="5" t="s">
        <v>180</v>
      </c>
      <c r="D4" s="5" t="s">
        <v>181</v>
      </c>
    </row>
    <row r="5" customFormat="false" ht="15" hidden="false" customHeight="false" outlineLevel="0" collapsed="false">
      <c r="A5" s="2" t="s">
        <v>182</v>
      </c>
      <c r="C5" s="19" t="n">
        <v>90</v>
      </c>
      <c r="D5" s="3" t="s">
        <v>183</v>
      </c>
    </row>
    <row r="6" customFormat="false" ht="15" hidden="false" customHeight="false" outlineLevel="0" collapsed="false">
      <c r="A6" s="2" t="s">
        <v>184</v>
      </c>
      <c r="C6" s="19" t="n">
        <v>240</v>
      </c>
      <c r="D6" s="3" t="s">
        <v>185</v>
      </c>
    </row>
    <row r="7" customFormat="false" ht="15" hidden="false" customHeight="false" outlineLevel="0" collapsed="false">
      <c r="A7" s="2" t="s">
        <v>186</v>
      </c>
      <c r="C7" s="19" t="n">
        <v>420</v>
      </c>
      <c r="D7" s="3" t="s">
        <v>187</v>
      </c>
    </row>
    <row r="8" customFormat="false" ht="15" hidden="false" customHeight="false" outlineLevel="0" collapsed="false">
      <c r="A8" s="2" t="s">
        <v>188</v>
      </c>
      <c r="C8" s="19" t="n">
        <v>150</v>
      </c>
      <c r="D8" s="3" t="s">
        <v>189</v>
      </c>
    </row>
    <row r="9" customFormat="false" ht="15" hidden="false" customHeight="false" outlineLevel="0" collapsed="false">
      <c r="A9" s="2" t="s">
        <v>190</v>
      </c>
      <c r="C9" s="19" t="n">
        <v>180</v>
      </c>
      <c r="D9" s="3" t="s">
        <v>191</v>
      </c>
    </row>
    <row r="10" customFormat="false" ht="15" hidden="false" customHeight="false" outlineLevel="0" collapsed="false">
      <c r="A10" s="2" t="s">
        <v>192</v>
      </c>
      <c r="C10" s="19" t="n">
        <v>90</v>
      </c>
      <c r="D10" s="3" t="s">
        <v>193</v>
      </c>
    </row>
    <row r="11" customFormat="false" ht="15" hidden="false" customHeight="false" outlineLevel="0" collapsed="false">
      <c r="A11" s="2" t="s">
        <v>194</v>
      </c>
      <c r="C11" s="19" t="n">
        <v>120</v>
      </c>
      <c r="D11" s="3" t="s">
        <v>195</v>
      </c>
    </row>
    <row r="12" customFormat="false" ht="15" hidden="false" customHeight="false" outlineLevel="0" collapsed="false">
      <c r="A12" s="2" t="s">
        <v>196</v>
      </c>
      <c r="C12" s="19" t="n">
        <v>40</v>
      </c>
      <c r="D12" s="3" t="s">
        <v>197</v>
      </c>
    </row>
    <row r="13" customFormat="false" ht="15" hidden="false" customHeight="false" outlineLevel="0" collapsed="false">
      <c r="A13" s="2" t="s">
        <v>198</v>
      </c>
      <c r="C13" s="19" t="n">
        <v>350</v>
      </c>
      <c r="D13" s="3" t="s">
        <v>199</v>
      </c>
    </row>
    <row r="14" customFormat="false" ht="15" hidden="false" customHeight="false" outlineLevel="0" collapsed="false">
      <c r="A14" s="2" t="s">
        <v>200</v>
      </c>
      <c r="C14" s="19" t="n">
        <v>250</v>
      </c>
      <c r="D14" s="3"/>
    </row>
    <row r="15" customFormat="false" ht="15" hidden="false" customHeight="false" outlineLevel="0" collapsed="false">
      <c r="A15" s="2" t="s">
        <v>201</v>
      </c>
      <c r="C15" s="19" t="n">
        <v>120</v>
      </c>
      <c r="D15" s="3" t="s">
        <v>202</v>
      </c>
    </row>
    <row r="16" customFormat="false" ht="15" hidden="false" customHeight="false" outlineLevel="0" collapsed="false">
      <c r="A16" s="2" t="s">
        <v>203</v>
      </c>
      <c r="C16" s="19" t="n">
        <v>600</v>
      </c>
      <c r="D16" s="3"/>
    </row>
    <row r="17" customFormat="false" ht="15" hidden="false" customHeight="false" outlineLevel="0" collapsed="false">
      <c r="A17" s="2" t="s">
        <v>204</v>
      </c>
      <c r="C17" s="19" t="n">
        <v>300</v>
      </c>
      <c r="D17" s="3" t="s">
        <v>205</v>
      </c>
    </row>
    <row r="18" customFormat="false" ht="15" hidden="false" customHeight="false" outlineLevel="0" collapsed="false">
      <c r="A18" s="14" t="s">
        <v>206</v>
      </c>
      <c r="C18" s="29" t="n">
        <f aca="false">SUM(C5:C17)</f>
        <v>2950</v>
      </c>
    </row>
    <row r="20" customFormat="false" ht="15" hidden="false" customHeight="false" outlineLevel="0" collapsed="false">
      <c r="A20" s="5" t="s">
        <v>207</v>
      </c>
    </row>
    <row r="21" customFormat="false" ht="15" hidden="false" customHeight="false" outlineLevel="0" collapsed="false">
      <c r="A21" s="2" t="s">
        <v>208</v>
      </c>
      <c r="C21" s="19" t="n">
        <v>1000</v>
      </c>
      <c r="D21" s="3" t="s">
        <v>209</v>
      </c>
    </row>
    <row r="22" customFormat="false" ht="15" hidden="false" customHeight="false" outlineLevel="0" collapsed="false">
      <c r="A22" s="2" t="s">
        <v>210</v>
      </c>
      <c r="C22" s="19" t="n">
        <v>900</v>
      </c>
      <c r="D22" s="3"/>
    </row>
    <row r="23" customFormat="false" ht="15" hidden="false" customHeight="false" outlineLevel="0" collapsed="false">
      <c r="A23" s="2" t="s">
        <v>211</v>
      </c>
      <c r="C23" s="19" t="n">
        <v>500</v>
      </c>
      <c r="D23" s="3"/>
    </row>
    <row r="24" customFormat="false" ht="15" hidden="false" customHeight="false" outlineLevel="0" collapsed="false">
      <c r="A24" s="2" t="s">
        <v>212</v>
      </c>
      <c r="C24" s="19" t="n">
        <v>400</v>
      </c>
      <c r="D24" s="3"/>
    </row>
    <row r="25" customFormat="false" ht="15" hidden="false" customHeight="false" outlineLevel="0" collapsed="false">
      <c r="A25" s="2" t="s">
        <v>213</v>
      </c>
      <c r="C25" s="19" t="n">
        <v>400</v>
      </c>
      <c r="D25" s="3"/>
    </row>
    <row r="26" customFormat="false" ht="15" hidden="false" customHeight="false" outlineLevel="0" collapsed="false">
      <c r="A26" s="2" t="s">
        <v>214</v>
      </c>
      <c r="C26" s="19" t="n">
        <v>300</v>
      </c>
      <c r="D26" s="3" t="s">
        <v>215</v>
      </c>
    </row>
    <row r="27" customFormat="false" ht="15" hidden="false" customHeight="false" outlineLevel="0" collapsed="false">
      <c r="A27" s="2" t="s">
        <v>216</v>
      </c>
      <c r="C27" s="19" t="n">
        <v>300</v>
      </c>
      <c r="D27" s="3"/>
    </row>
    <row r="28" customFormat="false" ht="15" hidden="false" customHeight="false" outlineLevel="0" collapsed="false">
      <c r="A28" s="14" t="s">
        <v>217</v>
      </c>
      <c r="C28" s="29" t="n">
        <f aca="false">SUM(C21:C27)</f>
        <v>3800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3" t="s">
        <v>219</v>
      </c>
    </row>
    <row r="4" customFormat="false" ht="15" hidden="false" customHeight="false" outlineLevel="0" collapsed="false">
      <c r="A4" s="5" t="s">
        <v>220</v>
      </c>
      <c r="C4" s="5" t="s">
        <v>221</v>
      </c>
      <c r="D4" s="5" t="s">
        <v>222</v>
      </c>
      <c r="E4" s="5" t="s">
        <v>223</v>
      </c>
      <c r="F4" s="5" t="s">
        <v>224</v>
      </c>
      <c r="G4" s="5" t="s">
        <v>181</v>
      </c>
    </row>
    <row r="5" customFormat="false" ht="15" hidden="false" customHeight="false" outlineLevel="0" collapsed="false">
      <c r="A5" s="2" t="s">
        <v>225</v>
      </c>
      <c r="C5" s="19" t="n">
        <v>12500</v>
      </c>
      <c r="D5" s="16" t="n">
        <v>1</v>
      </c>
      <c r="E5" s="19" t="n">
        <v>12500</v>
      </c>
      <c r="F5" s="16" t="n">
        <v>13</v>
      </c>
      <c r="G5" s="3" t="s">
        <v>226</v>
      </c>
    </row>
    <row r="6" customFormat="false" ht="15" hidden="false" customHeight="false" outlineLevel="0" collapsed="false">
      <c r="A6" s="2" t="s">
        <v>227</v>
      </c>
      <c r="C6" s="19" t="n">
        <v>22000</v>
      </c>
      <c r="D6" s="16" t="n">
        <v>1</v>
      </c>
      <c r="E6" s="19" t="n">
        <v>22000</v>
      </c>
      <c r="F6" s="16" t="n">
        <v>1</v>
      </c>
      <c r="G6" s="3" t="s">
        <v>228</v>
      </c>
    </row>
    <row r="7" customFormat="false" ht="15" hidden="false" customHeight="false" outlineLevel="0" collapsed="false">
      <c r="A7" s="2" t="s">
        <v>229</v>
      </c>
      <c r="C7" s="19" t="n">
        <v>18000</v>
      </c>
      <c r="D7" s="16" t="n">
        <v>1</v>
      </c>
      <c r="E7" s="19" t="n">
        <v>18000</v>
      </c>
      <c r="F7" s="16" t="n">
        <v>7</v>
      </c>
      <c r="G7" s="3"/>
    </row>
    <row r="8" customFormat="false" ht="15" hidden="false" customHeight="false" outlineLevel="0" collapsed="false">
      <c r="A8" s="2" t="s">
        <v>230</v>
      </c>
      <c r="C8" s="19" t="n">
        <v>9000</v>
      </c>
      <c r="D8" s="16" t="n">
        <v>1</v>
      </c>
      <c r="E8" s="19" t="n">
        <v>4500</v>
      </c>
      <c r="F8" s="16" t="n">
        <v>1</v>
      </c>
      <c r="G8" s="3" t="s">
        <v>231</v>
      </c>
    </row>
    <row r="9" customFormat="false" ht="15" hidden="false" customHeight="false" outlineLevel="0" collapsed="false">
      <c r="A9" s="2" t="s">
        <v>232</v>
      </c>
      <c r="C9" s="19" t="n">
        <v>19000</v>
      </c>
      <c r="D9" s="16" t="n">
        <v>4</v>
      </c>
      <c r="E9" s="19" t="n">
        <v>6000</v>
      </c>
      <c r="F9" s="16" t="n">
        <v>3</v>
      </c>
      <c r="G9" s="3" t="s">
        <v>233</v>
      </c>
    </row>
    <row r="10" customFormat="false" ht="15" hidden="false" customHeight="false" outlineLevel="0" collapsed="false">
      <c r="A10" s="2" t="s">
        <v>234</v>
      </c>
      <c r="C10" s="19" t="n">
        <v>13000</v>
      </c>
      <c r="D10" s="16" t="n">
        <v>7</v>
      </c>
      <c r="E10" s="19" t="n">
        <v>13000</v>
      </c>
      <c r="F10" s="16" t="n">
        <v>10</v>
      </c>
      <c r="G10" s="3"/>
    </row>
    <row r="11" customFormat="false" ht="15" hidden="false" customHeight="false" outlineLevel="0" collapsed="false">
      <c r="A11" s="2" t="s">
        <v>235</v>
      </c>
      <c r="C11" s="19" t="n">
        <v>11000</v>
      </c>
      <c r="D11" s="16" t="n">
        <v>10</v>
      </c>
      <c r="E11" s="19" t="n">
        <v>11000</v>
      </c>
      <c r="F11" s="16" t="n">
        <v>19</v>
      </c>
      <c r="G11" s="3"/>
    </row>
    <row r="12" customFormat="false" ht="15" hidden="false" customHeight="false" outlineLevel="0" collapsed="false">
      <c r="A12" s="2" t="s">
        <v>236</v>
      </c>
      <c r="C12" s="19" t="n">
        <v>18000</v>
      </c>
      <c r="D12" s="16" t="n">
        <v>13</v>
      </c>
      <c r="E12" s="19" t="n">
        <v>18000</v>
      </c>
      <c r="F12" s="16" t="n">
        <v>16</v>
      </c>
      <c r="G12" s="3"/>
    </row>
    <row r="13" customFormat="false" ht="15" hidden="false" customHeight="false" outlineLevel="0" collapsed="false">
      <c r="A13" s="2" t="s">
        <v>237</v>
      </c>
      <c r="C13" s="19" t="n">
        <v>12000</v>
      </c>
      <c r="D13" s="16" t="n">
        <v>16</v>
      </c>
      <c r="E13" s="19" t="n">
        <v>12000</v>
      </c>
      <c r="F13" s="16" t="n">
        <v>25</v>
      </c>
      <c r="G13" s="3" t="s">
        <v>238</v>
      </c>
    </row>
    <row r="14" customFormat="false" ht="15" hidden="false" customHeight="false" outlineLevel="0" collapsed="false">
      <c r="A14" s="2" t="s">
        <v>239</v>
      </c>
      <c r="C14" s="19" t="n">
        <v>13000</v>
      </c>
      <c r="D14" s="16" t="n">
        <v>16</v>
      </c>
      <c r="E14" s="19" t="n">
        <v>13000</v>
      </c>
      <c r="F14" s="16" t="n">
        <v>22</v>
      </c>
      <c r="G14" s="3"/>
    </row>
    <row r="15" customFormat="false" ht="15" hidden="false" customHeight="false" outlineLevel="0" collapsed="false">
      <c r="A15" s="2" t="s">
        <v>240</v>
      </c>
      <c r="C15" s="19" t="n">
        <v>18000</v>
      </c>
      <c r="D15" s="16" t="n">
        <v>19</v>
      </c>
      <c r="E15" s="19" t="n">
        <v>18000</v>
      </c>
      <c r="F15" s="16" t="n">
        <v>28</v>
      </c>
      <c r="G1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241</v>
      </c>
    </row>
    <row r="2" customFormat="false" ht="15" hidden="false" customHeight="false" outlineLevel="0" collapsed="false">
      <c r="A2" s="3" t="s">
        <v>242</v>
      </c>
    </row>
    <row r="4" customFormat="false" ht="15" hidden="false" customHeight="false" outlineLevel="0" collapsed="false">
      <c r="A4" s="5" t="s">
        <v>243</v>
      </c>
      <c r="C4" s="5" t="s">
        <v>244</v>
      </c>
      <c r="D4" s="5" t="s">
        <v>245</v>
      </c>
    </row>
    <row r="5" customFormat="false" ht="15" hidden="false" customHeight="false" outlineLevel="0" collapsed="false">
      <c r="A5" s="2" t="s">
        <v>246</v>
      </c>
      <c r="C5" s="19" t="n">
        <v>6000</v>
      </c>
      <c r="D5" s="16" t="n">
        <v>1</v>
      </c>
    </row>
    <row r="6" customFormat="false" ht="15" hidden="false" customHeight="false" outlineLevel="0" collapsed="false">
      <c r="A6" s="2" t="s">
        <v>247</v>
      </c>
      <c r="C6" s="19" t="n">
        <v>25000</v>
      </c>
      <c r="D6" s="16" t="n">
        <v>1</v>
      </c>
    </row>
    <row r="7" customFormat="false" ht="15" hidden="false" customHeight="false" outlineLevel="0" collapsed="false">
      <c r="A7" s="2" t="s">
        <v>248</v>
      </c>
      <c r="C7" s="19" t="n">
        <v>12000</v>
      </c>
      <c r="D7" s="16" t="n">
        <v>2</v>
      </c>
    </row>
    <row r="8" customFormat="false" ht="15" hidden="false" customHeight="false" outlineLevel="0" collapsed="false">
      <c r="A8" s="2" t="s">
        <v>249</v>
      </c>
      <c r="C8" s="19" t="n">
        <v>3000</v>
      </c>
      <c r="D8" s="16" t="n">
        <v>2</v>
      </c>
    </row>
    <row r="9" customFormat="false" ht="15" hidden="false" customHeight="false" outlineLevel="0" collapsed="false">
      <c r="A9" s="2" t="s">
        <v>250</v>
      </c>
      <c r="C9" s="19" t="n">
        <v>25000</v>
      </c>
      <c r="D9" s="16" t="n">
        <v>2</v>
      </c>
    </row>
    <row r="10" customFormat="false" ht="15" hidden="false" customHeight="false" outlineLevel="0" collapsed="false">
      <c r="A10" s="2" t="s">
        <v>251</v>
      </c>
      <c r="C10" s="19" t="n">
        <v>15000</v>
      </c>
      <c r="D10" s="16" t="n">
        <v>3</v>
      </c>
    </row>
    <row r="11" customFormat="false" ht="15" hidden="false" customHeight="false" outlineLevel="0" collapsed="false">
      <c r="A11" s="2" t="s">
        <v>252</v>
      </c>
      <c r="C11" s="19" t="n">
        <v>15000</v>
      </c>
      <c r="D11" s="16" t="n">
        <v>4</v>
      </c>
    </row>
    <row r="12" customFormat="false" ht="15" hidden="false" customHeight="false" outlineLevel="0" collapsed="false">
      <c r="A12" s="2" t="s">
        <v>253</v>
      </c>
      <c r="C12" s="19" t="n">
        <v>15000</v>
      </c>
      <c r="D12" s="16" t="n">
        <v>1</v>
      </c>
    </row>
    <row r="13" customFormat="false" ht="15" hidden="false" customHeight="false" outlineLevel="0" collapsed="false">
      <c r="A13" s="2" t="s">
        <v>254</v>
      </c>
      <c r="C13" s="19" t="n">
        <v>15000</v>
      </c>
      <c r="D13" s="16" t="n">
        <v>4</v>
      </c>
    </row>
    <row r="14" customFormat="false" ht="15" hidden="false" customHeight="false" outlineLevel="0" collapsed="false">
      <c r="A14" s="2" t="s">
        <v>255</v>
      </c>
      <c r="C14" s="19" t="n">
        <v>20000</v>
      </c>
      <c r="D14" s="16" t="n">
        <v>6</v>
      </c>
    </row>
    <row r="15" customFormat="false" ht="15" hidden="false" customHeight="false" outlineLevel="0" collapsed="false">
      <c r="A15" s="2" t="s">
        <v>256</v>
      </c>
      <c r="C15" s="19" t="n">
        <v>18000</v>
      </c>
      <c r="D15" s="16" t="n">
        <v>6</v>
      </c>
    </row>
    <row r="16" customFormat="false" ht="15" hidden="false" customHeight="false" outlineLevel="0" collapsed="false">
      <c r="A16" s="2" t="s">
        <v>257</v>
      </c>
      <c r="C16" s="19" t="n">
        <v>15000</v>
      </c>
      <c r="D16" s="16" t="n">
        <v>6</v>
      </c>
    </row>
    <row r="17" customFormat="false" ht="15" hidden="false" customHeight="false" outlineLevel="0" collapsed="false">
      <c r="A17" s="2" t="s">
        <v>258</v>
      </c>
      <c r="B17" s="18" t="n">
        <v>0.15</v>
      </c>
      <c r="C17" s="6" t="n">
        <f aca="false">SUM(C5:C16)*B17</f>
        <v>27600</v>
      </c>
      <c r="D17" s="16" t="n">
        <v>1</v>
      </c>
    </row>
    <row r="18" customFormat="false" ht="15" hidden="false" customHeight="false" outlineLevel="0" collapsed="false">
      <c r="A18" s="14" t="s">
        <v>259</v>
      </c>
      <c r="C18" s="29" t="n">
        <f aca="false">SUM(C5:C17)</f>
        <v>211600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3" t="s">
        <v>261</v>
      </c>
    </row>
    <row r="4" customFormat="false" ht="15" hidden="false" customHeight="false" outlineLevel="0" collapsed="false">
      <c r="B4" s="2" t="s">
        <v>245</v>
      </c>
      <c r="C4" s="30" t="n">
        <v>1</v>
      </c>
      <c r="D4" s="30" t="n">
        <v>2</v>
      </c>
      <c r="E4" s="30" t="n">
        <v>3</v>
      </c>
      <c r="F4" s="30" t="n">
        <v>4</v>
      </c>
      <c r="G4" s="30" t="n">
        <v>5</v>
      </c>
      <c r="H4" s="30" t="n">
        <v>6</v>
      </c>
      <c r="I4" s="30" t="n">
        <v>7</v>
      </c>
      <c r="J4" s="30" t="n">
        <v>8</v>
      </c>
      <c r="K4" s="30" t="n">
        <v>9</v>
      </c>
      <c r="L4" s="30" t="n">
        <v>10</v>
      </c>
      <c r="M4" s="30" t="n">
        <v>11</v>
      </c>
      <c r="N4" s="30" t="n">
        <v>12</v>
      </c>
      <c r="O4" s="30" t="n">
        <v>13</v>
      </c>
      <c r="P4" s="30" t="n">
        <v>14</v>
      </c>
      <c r="Q4" s="30" t="n">
        <v>15</v>
      </c>
      <c r="R4" s="30" t="n">
        <v>16</v>
      </c>
      <c r="S4" s="30" t="n">
        <v>17</v>
      </c>
      <c r="T4" s="30" t="n">
        <v>18</v>
      </c>
      <c r="U4" s="30" t="n">
        <v>19</v>
      </c>
      <c r="V4" s="30" t="n">
        <v>20</v>
      </c>
      <c r="W4" s="30" t="n">
        <v>21</v>
      </c>
      <c r="X4" s="30" t="n">
        <v>22</v>
      </c>
      <c r="Y4" s="30" t="n">
        <v>23</v>
      </c>
      <c r="Z4" s="30" t="n">
        <v>24</v>
      </c>
      <c r="AA4" s="30" t="n">
        <v>25</v>
      </c>
      <c r="AB4" s="30" t="n">
        <v>26</v>
      </c>
      <c r="AC4" s="30" t="n">
        <v>27</v>
      </c>
      <c r="AD4" s="30" t="n">
        <v>28</v>
      </c>
      <c r="AE4" s="30" t="n">
        <v>29</v>
      </c>
      <c r="AF4" s="30" t="n">
        <v>30</v>
      </c>
      <c r="AG4" s="30" t="n">
        <v>31</v>
      </c>
      <c r="AH4" s="30" t="n">
        <v>32</v>
      </c>
      <c r="AI4" s="30" t="n">
        <v>33</v>
      </c>
      <c r="AJ4" s="30" t="n">
        <v>34</v>
      </c>
      <c r="AK4" s="30" t="n">
        <v>35</v>
      </c>
      <c r="AL4" s="30" t="n">
        <v>36</v>
      </c>
    </row>
    <row r="5" customFormat="false" ht="15" hidden="false" customHeight="false" outlineLevel="0" collapsed="false">
      <c r="B5" s="2" t="s">
        <v>262</v>
      </c>
      <c r="C5" s="8" t="n">
        <f aca="false">ROUNDUP(C4/12,0)</f>
        <v>1</v>
      </c>
      <c r="D5" s="8" t="n">
        <f aca="false">ROUNDUP(D4/12,0)</f>
        <v>1</v>
      </c>
      <c r="E5" s="8" t="n">
        <f aca="false">ROUNDUP(E4/12,0)</f>
        <v>1</v>
      </c>
      <c r="F5" s="8" t="n">
        <f aca="false">ROUNDUP(F4/12,0)</f>
        <v>1</v>
      </c>
      <c r="G5" s="8" t="n">
        <f aca="false">ROUNDUP(G4/12,0)</f>
        <v>1</v>
      </c>
      <c r="H5" s="8" t="n">
        <f aca="false">ROUNDUP(H4/12,0)</f>
        <v>1</v>
      </c>
      <c r="I5" s="8" t="n">
        <f aca="false">ROUNDUP(I4/12,0)</f>
        <v>1</v>
      </c>
      <c r="J5" s="8" t="n">
        <f aca="false">ROUNDUP(J4/12,0)</f>
        <v>1</v>
      </c>
      <c r="K5" s="8" t="n">
        <f aca="false">ROUNDUP(K4/12,0)</f>
        <v>1</v>
      </c>
      <c r="L5" s="8" t="n">
        <f aca="false">ROUNDUP(L4/12,0)</f>
        <v>1</v>
      </c>
      <c r="M5" s="8" t="n">
        <f aca="false">ROUNDUP(M4/12,0)</f>
        <v>1</v>
      </c>
      <c r="N5" s="8" t="n">
        <f aca="false">ROUNDUP(N4/12,0)</f>
        <v>1</v>
      </c>
      <c r="O5" s="8" t="n">
        <f aca="false">ROUNDUP(O4/12,0)</f>
        <v>2</v>
      </c>
      <c r="P5" s="8" t="n">
        <f aca="false">ROUNDUP(P4/12,0)</f>
        <v>2</v>
      </c>
      <c r="Q5" s="8" t="n">
        <f aca="false">ROUNDUP(Q4/12,0)</f>
        <v>2</v>
      </c>
      <c r="R5" s="8" t="n">
        <f aca="false">ROUNDUP(R4/12,0)</f>
        <v>2</v>
      </c>
      <c r="S5" s="8" t="n">
        <f aca="false">ROUNDUP(S4/12,0)</f>
        <v>2</v>
      </c>
      <c r="T5" s="8" t="n">
        <f aca="false">ROUNDUP(T4/12,0)</f>
        <v>2</v>
      </c>
      <c r="U5" s="8" t="n">
        <f aca="false">ROUNDUP(U4/12,0)</f>
        <v>2</v>
      </c>
      <c r="V5" s="8" t="n">
        <f aca="false">ROUNDUP(V4/12,0)</f>
        <v>2</v>
      </c>
      <c r="W5" s="8" t="n">
        <f aca="false">ROUNDUP(W4/12,0)</f>
        <v>2</v>
      </c>
      <c r="X5" s="8" t="n">
        <f aca="false">ROUNDUP(X4/12,0)</f>
        <v>2</v>
      </c>
      <c r="Y5" s="8" t="n">
        <f aca="false">ROUNDUP(Y4/12,0)</f>
        <v>2</v>
      </c>
      <c r="Z5" s="8" t="n">
        <f aca="false">ROUNDUP(Z4/12,0)</f>
        <v>2</v>
      </c>
      <c r="AA5" s="8" t="n">
        <f aca="false">ROUNDUP(AA4/12,0)</f>
        <v>3</v>
      </c>
      <c r="AB5" s="8" t="n">
        <f aca="false">ROUNDUP(AB4/12,0)</f>
        <v>3</v>
      </c>
      <c r="AC5" s="8" t="n">
        <f aca="false">ROUNDUP(AC4/12,0)</f>
        <v>3</v>
      </c>
      <c r="AD5" s="8" t="n">
        <f aca="false">ROUNDUP(AD4/12,0)</f>
        <v>3</v>
      </c>
      <c r="AE5" s="8" t="n">
        <f aca="false">ROUNDUP(AE4/12,0)</f>
        <v>3</v>
      </c>
      <c r="AF5" s="8" t="n">
        <f aca="false">ROUNDUP(AF4/12,0)</f>
        <v>3</v>
      </c>
      <c r="AG5" s="8" t="n">
        <f aca="false">ROUNDUP(AG4/12,0)</f>
        <v>3</v>
      </c>
      <c r="AH5" s="8" t="n">
        <f aca="false">ROUNDUP(AH4/12,0)</f>
        <v>3</v>
      </c>
      <c r="AI5" s="8" t="n">
        <f aca="false">ROUNDUP(AI4/12,0)</f>
        <v>3</v>
      </c>
      <c r="AJ5" s="8" t="n">
        <f aca="false">ROUNDUP(AJ4/12,0)</f>
        <v>3</v>
      </c>
      <c r="AK5" s="8" t="n">
        <f aca="false">ROUNDUP(AK4/12,0)</f>
        <v>3</v>
      </c>
      <c r="AL5" s="8" t="n">
        <f aca="false">ROUNDUP(AL4/12,0)</f>
        <v>3</v>
      </c>
    </row>
    <row r="6" customFormat="false" ht="15" hidden="false" customHeight="false" outlineLevel="0" collapsed="false">
      <c r="B6" s="2" t="s">
        <v>263</v>
      </c>
      <c r="C6" s="8" t="n">
        <f aca="false">IF(C4&gt;=Assumptions!$F$7,1,0)</f>
        <v>0</v>
      </c>
      <c r="D6" s="8" t="n">
        <f aca="false">IF(D4&gt;=Assumptions!$F$7,1,0)</f>
        <v>0</v>
      </c>
      <c r="E6" s="8" t="n">
        <f aca="false">IF(E4&gt;=Assumptions!$F$7,1,0)</f>
        <v>0</v>
      </c>
      <c r="F6" s="8" t="n">
        <f aca="false">IF(F4&gt;=Assumptions!$F$7,1,0)</f>
        <v>0</v>
      </c>
      <c r="G6" s="8" t="n">
        <f aca="false">IF(G4&gt;=Assumptions!$F$7,1,0)</f>
        <v>0</v>
      </c>
      <c r="H6" s="8" t="n">
        <f aca="false">IF(H4&gt;=Assumptions!$F$7,1,0)</f>
        <v>0</v>
      </c>
      <c r="I6" s="8" t="n">
        <f aca="false">IF(I4&gt;=Assumptions!$F$7,1,0)</f>
        <v>1</v>
      </c>
      <c r="J6" s="8" t="n">
        <f aca="false">IF(J4&gt;=Assumptions!$F$7,1,0)</f>
        <v>1</v>
      </c>
      <c r="K6" s="8" t="n">
        <f aca="false">IF(K4&gt;=Assumptions!$F$7,1,0)</f>
        <v>1</v>
      </c>
      <c r="L6" s="8" t="n">
        <f aca="false">IF(L4&gt;=Assumptions!$F$7,1,0)</f>
        <v>1</v>
      </c>
      <c r="M6" s="8" t="n">
        <f aca="false">IF(M4&gt;=Assumptions!$F$7,1,0)</f>
        <v>1</v>
      </c>
      <c r="N6" s="8" t="n">
        <f aca="false">IF(N4&gt;=Assumptions!$F$7,1,0)</f>
        <v>1</v>
      </c>
      <c r="O6" s="8" t="n">
        <f aca="false">IF(O4&gt;=Assumptions!$F$7,1,0)</f>
        <v>1</v>
      </c>
      <c r="P6" s="8" t="n">
        <f aca="false">IF(P4&gt;=Assumptions!$F$7,1,0)</f>
        <v>1</v>
      </c>
      <c r="Q6" s="8" t="n">
        <f aca="false">IF(Q4&gt;=Assumptions!$F$7,1,0)</f>
        <v>1</v>
      </c>
      <c r="R6" s="8" t="n">
        <f aca="false">IF(R4&gt;=Assumptions!$F$7,1,0)</f>
        <v>1</v>
      </c>
      <c r="S6" s="8" t="n">
        <f aca="false">IF(S4&gt;=Assumptions!$F$7,1,0)</f>
        <v>1</v>
      </c>
      <c r="T6" s="8" t="n">
        <f aca="false">IF(T4&gt;=Assumptions!$F$7,1,0)</f>
        <v>1</v>
      </c>
      <c r="U6" s="8" t="n">
        <f aca="false">IF(U4&gt;=Assumptions!$F$7,1,0)</f>
        <v>1</v>
      </c>
      <c r="V6" s="8" t="n">
        <f aca="false">IF(V4&gt;=Assumptions!$F$7,1,0)</f>
        <v>1</v>
      </c>
      <c r="W6" s="8" t="n">
        <f aca="false">IF(W4&gt;=Assumptions!$F$7,1,0)</f>
        <v>1</v>
      </c>
      <c r="X6" s="8" t="n">
        <f aca="false">IF(X4&gt;=Assumptions!$F$7,1,0)</f>
        <v>1</v>
      </c>
      <c r="Y6" s="8" t="n">
        <f aca="false">IF(Y4&gt;=Assumptions!$F$7,1,0)</f>
        <v>1</v>
      </c>
      <c r="Z6" s="8" t="n">
        <f aca="false">IF(Z4&gt;=Assumptions!$F$7,1,0)</f>
        <v>1</v>
      </c>
      <c r="AA6" s="8" t="n">
        <f aca="false">IF(AA4&gt;=Assumptions!$F$7,1,0)</f>
        <v>1</v>
      </c>
      <c r="AB6" s="8" t="n">
        <f aca="false">IF(AB4&gt;=Assumptions!$F$7,1,0)</f>
        <v>1</v>
      </c>
      <c r="AC6" s="8" t="n">
        <f aca="false">IF(AC4&gt;=Assumptions!$F$7,1,0)</f>
        <v>1</v>
      </c>
      <c r="AD6" s="8" t="n">
        <f aca="false">IF(AD4&gt;=Assumptions!$F$7,1,0)</f>
        <v>1</v>
      </c>
      <c r="AE6" s="8" t="n">
        <f aca="false">IF(AE4&gt;=Assumptions!$F$7,1,0)</f>
        <v>1</v>
      </c>
      <c r="AF6" s="8" t="n">
        <f aca="false">IF(AF4&gt;=Assumptions!$F$7,1,0)</f>
        <v>1</v>
      </c>
      <c r="AG6" s="8" t="n">
        <f aca="false">IF(AG4&gt;=Assumptions!$F$7,1,0)</f>
        <v>1</v>
      </c>
      <c r="AH6" s="8" t="n">
        <f aca="false">IF(AH4&gt;=Assumptions!$F$7,1,0)</f>
        <v>1</v>
      </c>
      <c r="AI6" s="8" t="n">
        <f aca="false">IF(AI4&gt;=Assumptions!$F$7,1,0)</f>
        <v>1</v>
      </c>
      <c r="AJ6" s="8" t="n">
        <f aca="false">IF(AJ4&gt;=Assumptions!$F$7,1,0)</f>
        <v>1</v>
      </c>
      <c r="AK6" s="8" t="n">
        <f aca="false">IF(AK4&gt;=Assumptions!$F$7,1,0)</f>
        <v>1</v>
      </c>
      <c r="AL6" s="8" t="n">
        <f aca="false">IF(AL4&gt;=Assumptions!$F$7,1,0)</f>
        <v>1</v>
      </c>
    </row>
    <row r="8" customFormat="false" ht="15" hidden="false" customHeight="false" outlineLevel="0" collapsed="false">
      <c r="B8" s="2" t="s">
        <v>264</v>
      </c>
      <c r="C8" s="10" t="n">
        <f aca="false">0</f>
        <v>0</v>
      </c>
      <c r="D8" s="10" t="n">
        <f aca="false">C11</f>
        <v>0</v>
      </c>
      <c r="E8" s="10" t="n">
        <f aca="false">D11</f>
        <v>0</v>
      </c>
      <c r="F8" s="10" t="n">
        <f aca="false">E11</f>
        <v>0</v>
      </c>
      <c r="G8" s="10" t="n">
        <f aca="false">F11</f>
        <v>0</v>
      </c>
      <c r="H8" s="10" t="n">
        <f aca="false">G11</f>
        <v>0</v>
      </c>
      <c r="I8" s="10" t="n">
        <f aca="false">H11</f>
        <v>0</v>
      </c>
      <c r="J8" s="10" t="n">
        <f aca="false">I11</f>
        <v>6</v>
      </c>
      <c r="K8" s="10" t="n">
        <f aca="false">J11</f>
        <v>12.33</v>
      </c>
      <c r="L8" s="10" t="n">
        <f aca="false">K11</f>
        <v>19.02015</v>
      </c>
      <c r="M8" s="10" t="n">
        <f aca="false">L11</f>
        <v>26.10291825</v>
      </c>
      <c r="N8" s="10" t="n">
        <f aca="false">M11</f>
        <v>33.61327905375</v>
      </c>
      <c r="O8" s="10" t="n">
        <f aca="false">N11</f>
        <v>41.5889155382063</v>
      </c>
      <c r="P8" s="10" t="n">
        <f aca="false">O11</f>
        <v>50.0704385874151</v>
      </c>
      <c r="Q8" s="10" t="n">
        <f aca="false">P11</f>
        <v>59.1016232354069</v>
      </c>
      <c r="R8" s="10" t="n">
        <f aca="false">Q11</f>
        <v>68.729663916213</v>
      </c>
      <c r="S8" s="10" t="n">
        <f aca="false">R11</f>
        <v>79.0054500809343</v>
      </c>
      <c r="T8" s="10" t="n">
        <f aca="false">S11</f>
        <v>89.9838638125476</v>
      </c>
      <c r="U8" s="10" t="n">
        <f aca="false">T11</f>
        <v>101.724101199562</v>
      </c>
      <c r="V8" s="10" t="n">
        <f aca="false">U11</f>
        <v>114.290019370486</v>
      </c>
      <c r="W8" s="10" t="n">
        <f aca="false">V11</f>
        <v>127.750511243211</v>
      </c>
      <c r="X8" s="10" t="n">
        <f aca="false">W11</f>
        <v>142.179910207677</v>
      </c>
      <c r="Y8" s="10" t="n">
        <f aca="false">X11</f>
        <v>157.658427137675</v>
      </c>
      <c r="Z8" s="10" t="n">
        <f aca="false">Y11</f>
        <v>174.272622319238</v>
      </c>
      <c r="AA8" s="10" t="n">
        <f aca="false">Z11</f>
        <v>192.115915090062</v>
      </c>
      <c r="AB8" s="10" t="n">
        <f aca="false">AA11</f>
        <v>211.28913420792</v>
      </c>
      <c r="AC8" s="10" t="n">
        <f aca="false">AB11</f>
        <v>231.90111220744</v>
      </c>
      <c r="AD8" s="10" t="n">
        <f aca="false">AC11</f>
        <v>254.06932726535</v>
      </c>
      <c r="AE8" s="10" t="n">
        <f aca="false">AD11</f>
        <v>277.92059637586</v>
      </c>
      <c r="AF8" s="10" t="n">
        <f aca="false">AE11</f>
        <v>303.591823941979</v>
      </c>
      <c r="AG8" s="10" t="n">
        <f aca="false">AF11</f>
        <v>331.230810216985</v>
      </c>
      <c r="AH8" s="10" t="n">
        <f aca="false">AG11</f>
        <v>360.997124385001</v>
      </c>
      <c r="AI8" s="10" t="n">
        <f aca="false">AH11</f>
        <v>393.063047452692</v>
      </c>
      <c r="AJ8" s="10" t="n">
        <f aca="false">AI11</f>
        <v>427.614590537876</v>
      </c>
      <c r="AK8" s="10" t="n">
        <f aca="false">AJ11</f>
        <v>464.852594587651</v>
      </c>
      <c r="AL8" s="10" t="n">
        <f aca="false">AK11</f>
        <v>504.993918041238</v>
      </c>
    </row>
    <row r="9" customFormat="false" ht="15" hidden="false" customHeight="false" outlineLevel="0" collapsed="false">
      <c r="B9" s="2" t="s">
        <v>265</v>
      </c>
      <c r="C9" s="10" t="n">
        <f aca="false">IF(C6=1,MIN(Assumptions!$F$11,Assumptions!$F$9*(1+Assumptions!$F$10)^(C4-Assumptions!$F$7)),0)</f>
        <v>0</v>
      </c>
      <c r="D9" s="10" t="n">
        <f aca="false">IF(D6=1,MIN(Assumptions!$F$11,Assumptions!$F$9*(1+Assumptions!$F$10)^(D4-Assumptions!$F$7)),0)</f>
        <v>0</v>
      </c>
      <c r="E9" s="10" t="n">
        <f aca="false">IF(E6=1,MIN(Assumptions!$F$11,Assumptions!$F$9*(1+Assumptions!$F$10)^(E4-Assumptions!$F$7)),0)</f>
        <v>0</v>
      </c>
      <c r="F9" s="10" t="n">
        <f aca="false">IF(F6=1,MIN(Assumptions!$F$11,Assumptions!$F$9*(1+Assumptions!$F$10)^(F4-Assumptions!$F$7)),0)</f>
        <v>0</v>
      </c>
      <c r="G9" s="10" t="n">
        <f aca="false">IF(G6=1,MIN(Assumptions!$F$11,Assumptions!$F$9*(1+Assumptions!$F$10)^(G4-Assumptions!$F$7)),0)</f>
        <v>0</v>
      </c>
      <c r="H9" s="10" t="n">
        <f aca="false">IF(H6=1,MIN(Assumptions!$F$11,Assumptions!$F$9*(1+Assumptions!$F$10)^(H4-Assumptions!$F$7)),0)</f>
        <v>0</v>
      </c>
      <c r="I9" s="10" t="n">
        <f aca="false">IF(I6=1,MIN(Assumptions!$F$11,Assumptions!$F$9*(1+Assumptions!$F$10)^(I4-Assumptions!$F$7)),0)</f>
        <v>6</v>
      </c>
      <c r="J9" s="10" t="n">
        <f aca="false">IF(J6=1,MIN(Assumptions!$F$11,Assumptions!$F$9*(1+Assumptions!$F$10)^(J4-Assumptions!$F$7)),0)</f>
        <v>6.48</v>
      </c>
      <c r="K9" s="10" t="n">
        <f aca="false">IF(K6=1,MIN(Assumptions!$F$11,Assumptions!$F$9*(1+Assumptions!$F$10)^(K4-Assumptions!$F$7)),0)</f>
        <v>6.9984</v>
      </c>
      <c r="L9" s="10" t="n">
        <f aca="false">IF(L6=1,MIN(Assumptions!$F$11,Assumptions!$F$9*(1+Assumptions!$F$10)^(L4-Assumptions!$F$7)),0)</f>
        <v>7.558272</v>
      </c>
      <c r="M9" s="10" t="n">
        <f aca="false">IF(M6=1,MIN(Assumptions!$F$11,Assumptions!$F$9*(1+Assumptions!$F$10)^(M4-Assumptions!$F$7)),0)</f>
        <v>8.16293376</v>
      </c>
      <c r="N9" s="10" t="n">
        <f aca="false">IF(N6=1,MIN(Assumptions!$F$11,Assumptions!$F$9*(1+Assumptions!$F$10)^(N4-Assumptions!$F$7)),0)</f>
        <v>8.8159684608</v>
      </c>
      <c r="O9" s="10" t="n">
        <f aca="false">IF(O6=1,MIN(Assumptions!$F$11,Assumptions!$F$9*(1+Assumptions!$F$10)^(O4-Assumptions!$F$7)),0)</f>
        <v>9.521245937664</v>
      </c>
      <c r="P9" s="10" t="n">
        <f aca="false">IF(P6=1,MIN(Assumptions!$F$11,Assumptions!$F$9*(1+Assumptions!$F$10)^(P4-Assumptions!$F$7)),0)</f>
        <v>10.2829456126771</v>
      </c>
      <c r="Q9" s="10" t="n">
        <f aca="false">IF(Q6=1,MIN(Assumptions!$F$11,Assumptions!$F$9*(1+Assumptions!$F$10)^(Q4-Assumptions!$F$7)),0)</f>
        <v>11.1055812616913</v>
      </c>
      <c r="R9" s="10" t="n">
        <f aca="false">IF(R6=1,MIN(Assumptions!$F$11,Assumptions!$F$9*(1+Assumptions!$F$10)^(R4-Assumptions!$F$7)),0)</f>
        <v>11.9940277626266</v>
      </c>
      <c r="S9" s="10" t="n">
        <f aca="false">IF(S6=1,MIN(Assumptions!$F$11,Assumptions!$F$9*(1+Assumptions!$F$10)^(S4-Assumptions!$F$7)),0)</f>
        <v>12.9535499836367</v>
      </c>
      <c r="T9" s="10" t="n">
        <f aca="false">IF(T6=1,MIN(Assumptions!$F$11,Assumptions!$F$9*(1+Assumptions!$F$10)^(T4-Assumptions!$F$7)),0)</f>
        <v>13.9898339823277</v>
      </c>
      <c r="U9" s="10" t="n">
        <f aca="false">IF(U6=1,MIN(Assumptions!$F$11,Assumptions!$F$9*(1+Assumptions!$F$10)^(U4-Assumptions!$F$7)),0)</f>
        <v>15.1090207009139</v>
      </c>
      <c r="V9" s="10" t="n">
        <f aca="false">IF(V6=1,MIN(Assumptions!$F$11,Assumptions!$F$9*(1+Assumptions!$F$10)^(V4-Assumptions!$F$7)),0)</f>
        <v>16.317742356987</v>
      </c>
      <c r="W9" s="10" t="n">
        <f aca="false">IF(W6=1,MIN(Assumptions!$F$11,Assumptions!$F$9*(1+Assumptions!$F$10)^(W4-Assumptions!$F$7)),0)</f>
        <v>17.623161745546</v>
      </c>
      <c r="X9" s="10" t="n">
        <f aca="false">IF(X6=1,MIN(Assumptions!$F$11,Assumptions!$F$9*(1+Assumptions!$F$10)^(X4-Assumptions!$F$7)),0)</f>
        <v>19.0330146851896</v>
      </c>
      <c r="Y9" s="10" t="n">
        <f aca="false">IF(Y6=1,MIN(Assumptions!$F$11,Assumptions!$F$9*(1+Assumptions!$F$10)^(Y4-Assumptions!$F$7)),0)</f>
        <v>20.5556558600048</v>
      </c>
      <c r="Z9" s="10" t="n">
        <f aca="false">IF(Z6=1,MIN(Assumptions!$F$11,Assumptions!$F$9*(1+Assumptions!$F$10)^(Z4-Assumptions!$F$7)),0)</f>
        <v>22.2001083288052</v>
      </c>
      <c r="AA9" s="10" t="n">
        <f aca="false">IF(AA6=1,MIN(Assumptions!$F$11,Assumptions!$F$9*(1+Assumptions!$F$10)^(AA4-Assumptions!$F$7)),0)</f>
        <v>23.9761169951096</v>
      </c>
      <c r="AB9" s="10" t="n">
        <f aca="false">IF(AB6=1,MIN(Assumptions!$F$11,Assumptions!$F$9*(1+Assumptions!$F$10)^(AB4-Assumptions!$F$7)),0)</f>
        <v>25.8942063547184</v>
      </c>
      <c r="AC9" s="10" t="n">
        <f aca="false">IF(AC6=1,MIN(Assumptions!$F$11,Assumptions!$F$9*(1+Assumptions!$F$10)^(AC4-Assumptions!$F$7)),0)</f>
        <v>27.9657428630958</v>
      </c>
      <c r="AD9" s="10" t="n">
        <f aca="false">IF(AD6=1,MIN(Assumptions!$F$11,Assumptions!$F$9*(1+Assumptions!$F$10)^(AD4-Assumptions!$F$7)),0)</f>
        <v>30.2030022921435</v>
      </c>
      <c r="AE9" s="10" t="n">
        <f aca="false">IF(AE6=1,MIN(Assumptions!$F$11,Assumptions!$F$9*(1+Assumptions!$F$10)^(AE4-Assumptions!$F$7)),0)</f>
        <v>32.619242475515</v>
      </c>
      <c r="AF9" s="10" t="n">
        <f aca="false">IF(AF6=1,MIN(Assumptions!$F$11,Assumptions!$F$9*(1+Assumptions!$F$10)^(AF4-Assumptions!$F$7)),0)</f>
        <v>35.2287818735562</v>
      </c>
      <c r="AG9" s="10" t="n">
        <f aca="false">IF(AG6=1,MIN(Assumptions!$F$11,Assumptions!$F$9*(1+Assumptions!$F$10)^(AG4-Assumptions!$F$7)),0)</f>
        <v>38.0470844234407</v>
      </c>
      <c r="AH9" s="10" t="n">
        <f aca="false">IF(AH6=1,MIN(Assumptions!$F$11,Assumptions!$F$9*(1+Assumptions!$F$10)^(AH4-Assumptions!$F$7)),0)</f>
        <v>41.090851177316</v>
      </c>
      <c r="AI9" s="10" t="n">
        <f aca="false">IF(AI6=1,MIN(Assumptions!$F$11,Assumptions!$F$9*(1+Assumptions!$F$10)^(AI4-Assumptions!$F$7)),0)</f>
        <v>44.3781192715012</v>
      </c>
      <c r="AJ9" s="10" t="n">
        <f aca="false">IF(AJ6=1,MIN(Assumptions!$F$11,Assumptions!$F$9*(1+Assumptions!$F$10)^(AJ4-Assumptions!$F$7)),0)</f>
        <v>47.9283688132214</v>
      </c>
      <c r="AK9" s="10" t="n">
        <f aca="false">IF(AK6=1,MIN(Assumptions!$F$11,Assumptions!$F$9*(1+Assumptions!$F$10)^(AK4-Assumptions!$F$7)),0)</f>
        <v>51.7626383182791</v>
      </c>
      <c r="AL9" s="10" t="n">
        <f aca="false">IF(AL6=1,MIN(Assumptions!$F$11,Assumptions!$F$9*(1+Assumptions!$F$10)^(AL4-Assumptions!$F$7)),0)</f>
        <v>55.9036493837414</v>
      </c>
    </row>
    <row r="10" customFormat="false" ht="15" hidden="false" customHeight="false" outlineLevel="0" collapsed="false">
      <c r="B10" s="2" t="s">
        <v>266</v>
      </c>
      <c r="C10" s="10" t="n">
        <f aca="false">C8*Assumptions!$F$12</f>
        <v>0</v>
      </c>
      <c r="D10" s="10" t="n">
        <f aca="false">D8*Assumptions!$F$12</f>
        <v>0</v>
      </c>
      <c r="E10" s="10" t="n">
        <f aca="false">E8*Assumptions!$F$12</f>
        <v>0</v>
      </c>
      <c r="F10" s="10" t="n">
        <f aca="false">F8*Assumptions!$F$12</f>
        <v>0</v>
      </c>
      <c r="G10" s="10" t="n">
        <f aca="false">G8*Assumptions!$F$12</f>
        <v>0</v>
      </c>
      <c r="H10" s="10" t="n">
        <f aca="false">H8*Assumptions!$F$12</f>
        <v>0</v>
      </c>
      <c r="I10" s="10" t="n">
        <f aca="false">I8*Assumptions!$F$12</f>
        <v>0</v>
      </c>
      <c r="J10" s="10" t="n">
        <f aca="false">J8*Assumptions!$F$12</f>
        <v>0.15</v>
      </c>
      <c r="K10" s="10" t="n">
        <f aca="false">K8*Assumptions!$F$12</f>
        <v>0.30825</v>
      </c>
      <c r="L10" s="10" t="n">
        <f aca="false">L8*Assumptions!$F$12</f>
        <v>0.47550375</v>
      </c>
      <c r="M10" s="10" t="n">
        <f aca="false">M8*Assumptions!$F$12</f>
        <v>0.65257295625</v>
      </c>
      <c r="N10" s="10" t="n">
        <f aca="false">N8*Assumptions!$F$12</f>
        <v>0.84033197634375</v>
      </c>
      <c r="O10" s="10" t="n">
        <f aca="false">O8*Assumptions!$F$12</f>
        <v>1.03972288845516</v>
      </c>
      <c r="P10" s="10" t="n">
        <f aca="false">P8*Assumptions!$F$12</f>
        <v>1.25176096468538</v>
      </c>
      <c r="Q10" s="10" t="n">
        <f aca="false">Q8*Assumptions!$F$12</f>
        <v>1.47754058088517</v>
      </c>
      <c r="R10" s="10" t="n">
        <f aca="false">R8*Assumptions!$F$12</f>
        <v>1.71824159790532</v>
      </c>
      <c r="S10" s="10" t="n">
        <f aca="false">S8*Assumptions!$F$12</f>
        <v>1.97513625202336</v>
      </c>
      <c r="T10" s="10" t="n">
        <f aca="false">T8*Assumptions!$F$12</f>
        <v>2.24959659531369</v>
      </c>
      <c r="U10" s="10" t="n">
        <f aca="false">U8*Assumptions!$F$12</f>
        <v>2.54310252998904</v>
      </c>
      <c r="V10" s="10" t="n">
        <f aca="false">V8*Assumptions!$F$12</f>
        <v>2.85725048426216</v>
      </c>
      <c r="W10" s="10" t="n">
        <f aca="false">W8*Assumptions!$F$12</f>
        <v>3.19376278108028</v>
      </c>
      <c r="X10" s="10" t="n">
        <f aca="false">X8*Assumptions!$F$12</f>
        <v>3.55449775519192</v>
      </c>
      <c r="Y10" s="10" t="n">
        <f aca="false">Y8*Assumptions!$F$12</f>
        <v>3.94146067844187</v>
      </c>
      <c r="Z10" s="10" t="n">
        <f aca="false">Z8*Assumptions!$F$12</f>
        <v>4.35681555798094</v>
      </c>
      <c r="AA10" s="10" t="n">
        <f aca="false">AA8*Assumptions!$F$12</f>
        <v>4.80289787725155</v>
      </c>
      <c r="AB10" s="10" t="n">
        <f aca="false">AB8*Assumptions!$F$12</f>
        <v>5.282228355198</v>
      </c>
      <c r="AC10" s="10" t="n">
        <f aca="false">AC8*Assumptions!$F$12</f>
        <v>5.79752780518601</v>
      </c>
      <c r="AD10" s="10" t="n">
        <f aca="false">AD8*Assumptions!$F$12</f>
        <v>6.35173318163375</v>
      </c>
      <c r="AE10" s="10" t="n">
        <f aca="false">AE8*Assumptions!$F$12</f>
        <v>6.9480149093965</v>
      </c>
      <c r="AF10" s="10" t="n">
        <f aca="false">AF8*Assumptions!$F$12</f>
        <v>7.58979559854946</v>
      </c>
      <c r="AG10" s="10" t="n">
        <f aca="false">AG8*Assumptions!$F$12</f>
        <v>8.28077025542463</v>
      </c>
      <c r="AH10" s="10" t="n">
        <f aca="false">AH8*Assumptions!$F$12</f>
        <v>9.02492810962503</v>
      </c>
      <c r="AI10" s="10" t="n">
        <f aca="false">AI8*Assumptions!$F$12</f>
        <v>9.82657618631731</v>
      </c>
      <c r="AJ10" s="10" t="n">
        <f aca="false">AJ8*Assumptions!$F$12</f>
        <v>10.6903647634469</v>
      </c>
      <c r="AK10" s="10" t="n">
        <f aca="false">AK8*Assumptions!$F$12</f>
        <v>11.6213148646913</v>
      </c>
      <c r="AL10" s="10" t="n">
        <f aca="false">AL8*Assumptions!$F$12</f>
        <v>12.624847951031</v>
      </c>
    </row>
    <row r="11" customFormat="false" ht="15" hidden="false" customHeight="false" outlineLevel="0" collapsed="false">
      <c r="B11" s="14" t="s">
        <v>267</v>
      </c>
      <c r="C11" s="31" t="n">
        <f aca="false">C8+C9-C10</f>
        <v>0</v>
      </c>
      <c r="D11" s="31" t="n">
        <f aca="false">D8+D9-D10</f>
        <v>0</v>
      </c>
      <c r="E11" s="31" t="n">
        <f aca="false">E8+E9-E10</f>
        <v>0</v>
      </c>
      <c r="F11" s="31" t="n">
        <f aca="false">F8+F9-F10</f>
        <v>0</v>
      </c>
      <c r="G11" s="31" t="n">
        <f aca="false">G8+G9-G10</f>
        <v>0</v>
      </c>
      <c r="H11" s="31" t="n">
        <f aca="false">H8+H9-H10</f>
        <v>0</v>
      </c>
      <c r="I11" s="31" t="n">
        <f aca="false">I8+I9-I10</f>
        <v>6</v>
      </c>
      <c r="J11" s="31" t="n">
        <f aca="false">J8+J9-J10</f>
        <v>12.33</v>
      </c>
      <c r="K11" s="31" t="n">
        <f aca="false">K8+K9-K10</f>
        <v>19.02015</v>
      </c>
      <c r="L11" s="31" t="n">
        <f aca="false">L8+L9-L10</f>
        <v>26.10291825</v>
      </c>
      <c r="M11" s="31" t="n">
        <f aca="false">M8+M9-M10</f>
        <v>33.61327905375</v>
      </c>
      <c r="N11" s="31" t="n">
        <f aca="false">N8+N9-N10</f>
        <v>41.5889155382063</v>
      </c>
      <c r="O11" s="31" t="n">
        <f aca="false">O8+O9-O10</f>
        <v>50.0704385874151</v>
      </c>
      <c r="P11" s="31" t="n">
        <f aca="false">P8+P9-P10</f>
        <v>59.1016232354069</v>
      </c>
      <c r="Q11" s="31" t="n">
        <f aca="false">Q8+Q9-Q10</f>
        <v>68.729663916213</v>
      </c>
      <c r="R11" s="31" t="n">
        <f aca="false">R8+R9-R10</f>
        <v>79.0054500809343</v>
      </c>
      <c r="S11" s="31" t="n">
        <f aca="false">S8+S9-S10</f>
        <v>89.9838638125476</v>
      </c>
      <c r="T11" s="31" t="n">
        <f aca="false">T8+T9-T10</f>
        <v>101.724101199562</v>
      </c>
      <c r="U11" s="31" t="n">
        <f aca="false">U8+U9-U10</f>
        <v>114.290019370486</v>
      </c>
      <c r="V11" s="31" t="n">
        <f aca="false">V8+V9-V10</f>
        <v>127.750511243211</v>
      </c>
      <c r="W11" s="31" t="n">
        <f aca="false">W8+W9-W10</f>
        <v>142.179910207677</v>
      </c>
      <c r="X11" s="31" t="n">
        <f aca="false">X8+X9-X10</f>
        <v>157.658427137675</v>
      </c>
      <c r="Y11" s="31" t="n">
        <f aca="false">Y8+Y9-Y10</f>
        <v>174.272622319238</v>
      </c>
      <c r="Z11" s="31" t="n">
        <f aca="false">Z8+Z9-Z10</f>
        <v>192.115915090062</v>
      </c>
      <c r="AA11" s="31" t="n">
        <f aca="false">AA8+AA9-AA10</f>
        <v>211.28913420792</v>
      </c>
      <c r="AB11" s="31" t="n">
        <f aca="false">AB8+AB9-AB10</f>
        <v>231.90111220744</v>
      </c>
      <c r="AC11" s="31" t="n">
        <f aca="false">AC8+AC9-AC10</f>
        <v>254.06932726535</v>
      </c>
      <c r="AD11" s="31" t="n">
        <f aca="false">AD8+AD9-AD10</f>
        <v>277.92059637586</v>
      </c>
      <c r="AE11" s="31" t="n">
        <f aca="false">AE8+AE9-AE10</f>
        <v>303.591823941979</v>
      </c>
      <c r="AF11" s="31" t="n">
        <f aca="false">AF8+AF9-AF10</f>
        <v>331.230810216985</v>
      </c>
      <c r="AG11" s="31" t="n">
        <f aca="false">AG8+AG9-AG10</f>
        <v>360.997124385001</v>
      </c>
      <c r="AH11" s="31" t="n">
        <f aca="false">AH8+AH9-AH10</f>
        <v>393.063047452692</v>
      </c>
      <c r="AI11" s="31" t="n">
        <f aca="false">AI8+AI9-AI10</f>
        <v>427.614590537876</v>
      </c>
      <c r="AJ11" s="31" t="n">
        <f aca="false">AJ8+AJ9-AJ10</f>
        <v>464.852594587651</v>
      </c>
      <c r="AK11" s="31" t="n">
        <f aca="false">AK8+AK9-AK10</f>
        <v>504.993918041238</v>
      </c>
      <c r="AL11" s="31" t="n">
        <f aca="false">AL8+AL9-AL10</f>
        <v>548.272719473949</v>
      </c>
    </row>
    <row r="12" customFormat="false" ht="15" hidden="false" customHeight="false" outlineLevel="0" collapsed="false">
      <c r="B12" s="2" t="s">
        <v>268</v>
      </c>
      <c r="C12" s="10" t="n">
        <f aca="false">C11*Pricing!$C$27</f>
        <v>0</v>
      </c>
      <c r="D12" s="10" t="n">
        <f aca="false">D11*Pricing!$C$27</f>
        <v>0</v>
      </c>
      <c r="E12" s="10" t="n">
        <f aca="false">E11*Pricing!$C$27</f>
        <v>0</v>
      </c>
      <c r="F12" s="10" t="n">
        <f aca="false">F11*Pricing!$C$27</f>
        <v>0</v>
      </c>
      <c r="G12" s="10" t="n">
        <f aca="false">G11*Pricing!$C$27</f>
        <v>0</v>
      </c>
      <c r="H12" s="10" t="n">
        <f aca="false">H11*Pricing!$C$27</f>
        <v>0</v>
      </c>
      <c r="I12" s="10" t="n">
        <f aca="false">I11*Pricing!$C$27</f>
        <v>18.9</v>
      </c>
      <c r="J12" s="10" t="n">
        <f aca="false">J11*Pricing!$C$27</f>
        <v>38.8395</v>
      </c>
      <c r="K12" s="10" t="n">
        <f aca="false">K11*Pricing!$C$27</f>
        <v>59.9134725</v>
      </c>
      <c r="L12" s="10" t="n">
        <f aca="false">L11*Pricing!$C$27</f>
        <v>82.2241924875</v>
      </c>
      <c r="M12" s="10" t="n">
        <f aca="false">M11*Pricing!$C$27</f>
        <v>105.881829019313</v>
      </c>
      <c r="N12" s="10" t="n">
        <f aca="false">N11*Pricing!$C$27</f>
        <v>131.00508394535</v>
      </c>
      <c r="O12" s="10" t="n">
        <f aca="false">O11*Pricing!$C$27</f>
        <v>157.721881550358</v>
      </c>
      <c r="P12" s="10" t="n">
        <f aca="false">P11*Pricing!$C$27</f>
        <v>186.170113191532</v>
      </c>
      <c r="Q12" s="10" t="n">
        <f aca="false">Q11*Pricing!$C$27</f>
        <v>216.498441336071</v>
      </c>
      <c r="R12" s="10" t="n">
        <f aca="false">R11*Pricing!$C$27</f>
        <v>248.867167754943</v>
      </c>
      <c r="S12" s="10" t="n">
        <f aca="false">S11*Pricing!$C$27</f>
        <v>283.449171009525</v>
      </c>
      <c r="T12" s="10" t="n">
        <f aca="false">T11*Pricing!$C$27</f>
        <v>320.430918778619</v>
      </c>
      <c r="U12" s="10" t="n">
        <f aca="false">U11*Pricing!$C$27</f>
        <v>360.013561017032</v>
      </c>
      <c r="V12" s="10" t="n">
        <f aca="false">V11*Pricing!$C$27</f>
        <v>402.414110416116</v>
      </c>
      <c r="W12" s="10" t="n">
        <f aca="false">W11*Pricing!$C$27</f>
        <v>447.866717154182</v>
      </c>
      <c r="X12" s="10" t="n">
        <f aca="false">X11*Pricing!$C$27</f>
        <v>496.624045483675</v>
      </c>
      <c r="Y12" s="10" t="n">
        <f aca="false">Y11*Pricing!$C$27</f>
        <v>548.958760305598</v>
      </c>
      <c r="Z12" s="10" t="n">
        <f aca="false">Z11*Pricing!$C$27</f>
        <v>605.165132533695</v>
      </c>
      <c r="AA12" s="10" t="n">
        <f aca="false">AA11*Pricing!$C$27</f>
        <v>665.560772754948</v>
      </c>
      <c r="AB12" s="10" t="n">
        <f aca="false">AB11*Pricing!$C$27</f>
        <v>730.488503453437</v>
      </c>
      <c r="AC12" s="10" t="n">
        <f aca="false">AC11*Pricing!$C$27</f>
        <v>800.318380885853</v>
      </c>
      <c r="AD12" s="10" t="n">
        <f aca="false">AD11*Pricing!$C$27</f>
        <v>875.449878583959</v>
      </c>
      <c r="AE12" s="10" t="n">
        <f aca="false">AE11*Pricing!$C$27</f>
        <v>956.314245417232</v>
      </c>
      <c r="AF12" s="10" t="n">
        <f aca="false">AF11*Pricing!$C$27</f>
        <v>1043.3770521835</v>
      </c>
      <c r="AG12" s="10" t="n">
        <f aca="false">AG11*Pricing!$C$27</f>
        <v>1137.14094181275</v>
      </c>
      <c r="AH12" s="10" t="n">
        <f aca="false">AH11*Pricing!$C$27</f>
        <v>1238.14859947598</v>
      </c>
      <c r="AI12" s="10" t="n">
        <f aca="false">AI11*Pricing!$C$27</f>
        <v>1346.98596019431</v>
      </c>
      <c r="AJ12" s="10" t="n">
        <f aca="false">AJ11*Pricing!$C$27</f>
        <v>1464.2856729511</v>
      </c>
      <c r="AK12" s="10" t="n">
        <f aca="false">AK11*Pricing!$C$27</f>
        <v>1590.7308418299</v>
      </c>
      <c r="AL12" s="10" t="n">
        <f aca="false">AL11*Pricing!$C$27</f>
        <v>1727.05906634294</v>
      </c>
    </row>
    <row r="14" customFormat="false" ht="15" hidden="false" customHeight="false" outlineLevel="0" collapsed="false">
      <c r="B14" s="2" t="s">
        <v>269</v>
      </c>
      <c r="C14" s="6" t="n">
        <f aca="false">C11*Pricing!$C$26</f>
        <v>0</v>
      </c>
      <c r="D14" s="6" t="n">
        <f aca="false">D11*Pricing!$C$26</f>
        <v>0</v>
      </c>
      <c r="E14" s="6" t="n">
        <f aca="false">E11*Pricing!$C$26</f>
        <v>0</v>
      </c>
      <c r="F14" s="6" t="n">
        <f aca="false">F11*Pricing!$C$26</f>
        <v>0</v>
      </c>
      <c r="G14" s="6" t="n">
        <f aca="false">G11*Pricing!$C$26</f>
        <v>0</v>
      </c>
      <c r="H14" s="6" t="n">
        <f aca="false">H11*Pricing!$C$26</f>
        <v>0</v>
      </c>
      <c r="I14" s="6" t="n">
        <f aca="false">I11*Pricing!$C$26</f>
        <v>8544</v>
      </c>
      <c r="J14" s="6" t="n">
        <f aca="false">J11*Pricing!$C$26</f>
        <v>17557.92</v>
      </c>
      <c r="K14" s="6" t="n">
        <f aca="false">K11*Pricing!$C$26</f>
        <v>27084.6936</v>
      </c>
      <c r="L14" s="6" t="n">
        <f aca="false">L11*Pricing!$C$26</f>
        <v>37170.555588</v>
      </c>
      <c r="M14" s="6" t="n">
        <f aca="false">M11*Pricing!$C$26</f>
        <v>47865.30937254</v>
      </c>
      <c r="N14" s="6" t="n">
        <f aca="false">N11*Pricing!$C$26</f>
        <v>59222.6157264057</v>
      </c>
      <c r="O14" s="6" t="n">
        <f aca="false">O11*Pricing!$C$26</f>
        <v>71300.3045484791</v>
      </c>
      <c r="P14" s="6" t="n">
        <f aca="false">P11*Pricing!$C$26</f>
        <v>84160.7114872194</v>
      </c>
      <c r="Q14" s="6" t="n">
        <f aca="false">Q11*Pricing!$C$26</f>
        <v>97871.0414166873</v>
      </c>
      <c r="R14" s="6" t="n">
        <f aca="false">R11*Pricing!$C$26</f>
        <v>112503.76091525</v>
      </c>
      <c r="S14" s="6" t="n">
        <f aca="false">S11*Pricing!$C$26</f>
        <v>128137.022069068</v>
      </c>
      <c r="T14" s="6" t="n">
        <f aca="false">T11*Pricing!$C$26</f>
        <v>144855.120108176</v>
      </c>
      <c r="U14" s="6" t="n">
        <f aca="false">U11*Pricing!$C$26</f>
        <v>162748.987583573</v>
      </c>
      <c r="V14" s="6" t="n">
        <f aca="false">V11*Pricing!$C$26</f>
        <v>181916.728010333</v>
      </c>
      <c r="W14" s="6" t="n">
        <f aca="false">W11*Pricing!$C$26</f>
        <v>202464.192135732</v>
      </c>
      <c r="X14" s="6" t="n">
        <f aca="false">X11*Pricing!$C$26</f>
        <v>224505.600244049</v>
      </c>
      <c r="Y14" s="6" t="n">
        <f aca="false">Y11*Pricing!$C$26</f>
        <v>248164.214182594</v>
      </c>
      <c r="Z14" s="6" t="n">
        <f aca="false">Z11*Pricing!$C$26</f>
        <v>273573.063088248</v>
      </c>
      <c r="AA14" s="6" t="n">
        <f aca="false">AA11*Pricing!$C$26</f>
        <v>300875.727112078</v>
      </c>
      <c r="AB14" s="6" t="n">
        <f aca="false">AB11*Pricing!$C$26</f>
        <v>330227.183783395</v>
      </c>
      <c r="AC14" s="6" t="n">
        <f aca="false">AC11*Pricing!$C$26</f>
        <v>361794.722025859</v>
      </c>
      <c r="AD14" s="6" t="n">
        <f aca="false">AD11*Pricing!$C$26</f>
        <v>395758.929239225</v>
      </c>
      <c r="AE14" s="6" t="n">
        <f aca="false">AE11*Pricing!$C$26</f>
        <v>432314.757293377</v>
      </c>
      <c r="AF14" s="6" t="n">
        <f aca="false">AF11*Pricing!$C$26</f>
        <v>471672.673748987</v>
      </c>
      <c r="AG14" s="6" t="n">
        <f aca="false">AG11*Pricing!$C$26</f>
        <v>514059.905124242</v>
      </c>
      <c r="AH14" s="6" t="n">
        <f aca="false">AH11*Pricing!$C$26</f>
        <v>559721.779572634</v>
      </c>
      <c r="AI14" s="6" t="n">
        <f aca="false">AI11*Pricing!$C$26</f>
        <v>608923.176925936</v>
      </c>
      <c r="AJ14" s="6" t="n">
        <f aca="false">AJ11*Pricing!$C$26</f>
        <v>661950.094692815</v>
      </c>
      <c r="AK14" s="6" t="n">
        <f aca="false">AK11*Pricing!$C$26</f>
        <v>719111.339290724</v>
      </c>
      <c r="AL14" s="6" t="n">
        <f aca="false">AL11*Pricing!$C$26</f>
        <v>780740.352530903</v>
      </c>
    </row>
    <row r="15" customFormat="false" ht="15" hidden="false" customHeight="false" outlineLevel="0" collapsed="false">
      <c r="B15" s="2" t="s">
        <v>270</v>
      </c>
      <c r="C15" s="6" t="n">
        <f aca="false">C9*Pricing!$C$28</f>
        <v>0</v>
      </c>
      <c r="D15" s="6" t="n">
        <f aca="false">D9*Pricing!$C$28</f>
        <v>0</v>
      </c>
      <c r="E15" s="6" t="n">
        <f aca="false">E9*Pricing!$C$28</f>
        <v>0</v>
      </c>
      <c r="F15" s="6" t="n">
        <f aca="false">F9*Pricing!$C$28</f>
        <v>0</v>
      </c>
      <c r="G15" s="6" t="n">
        <f aca="false">G9*Pricing!$C$28</f>
        <v>0</v>
      </c>
      <c r="H15" s="6" t="n">
        <f aca="false">H9*Pricing!$C$28</f>
        <v>0</v>
      </c>
      <c r="I15" s="6" t="n">
        <f aca="false">I9*Pricing!$C$28</f>
        <v>3450</v>
      </c>
      <c r="J15" s="6" t="n">
        <f aca="false">J9*Pricing!$C$28</f>
        <v>3726</v>
      </c>
      <c r="K15" s="6" t="n">
        <f aca="false">K9*Pricing!$C$28</f>
        <v>4024.08</v>
      </c>
      <c r="L15" s="6" t="n">
        <f aca="false">L9*Pricing!$C$28</f>
        <v>4346.0064</v>
      </c>
      <c r="M15" s="6" t="n">
        <f aca="false">M9*Pricing!$C$28</f>
        <v>4693.686912</v>
      </c>
      <c r="N15" s="6" t="n">
        <f aca="false">N9*Pricing!$C$28</f>
        <v>5069.18186496</v>
      </c>
      <c r="O15" s="6" t="n">
        <f aca="false">O9*Pricing!$C$28</f>
        <v>5474.7164141568</v>
      </c>
      <c r="P15" s="6" t="n">
        <f aca="false">P9*Pricing!$C$28</f>
        <v>5912.69372728935</v>
      </c>
      <c r="Q15" s="6" t="n">
        <f aca="false">Q9*Pricing!$C$28</f>
        <v>6385.7092254725</v>
      </c>
      <c r="R15" s="6" t="n">
        <f aca="false">R9*Pricing!$C$28</f>
        <v>6896.5659635103</v>
      </c>
      <c r="S15" s="6" t="n">
        <f aca="false">S9*Pricing!$C$28</f>
        <v>7448.29124059112</v>
      </c>
      <c r="T15" s="6" t="n">
        <f aca="false">T9*Pricing!$C$28</f>
        <v>8044.15453983841</v>
      </c>
      <c r="U15" s="6" t="n">
        <f aca="false">U9*Pricing!$C$28</f>
        <v>8687.68690302548</v>
      </c>
      <c r="V15" s="6" t="n">
        <f aca="false">V9*Pricing!$C$28</f>
        <v>9382.70185526752</v>
      </c>
      <c r="W15" s="6" t="n">
        <f aca="false">W9*Pricing!$C$28</f>
        <v>10133.3180036889</v>
      </c>
      <c r="X15" s="6" t="n">
        <f aca="false">X9*Pricing!$C$28</f>
        <v>10943.983443984</v>
      </c>
      <c r="Y15" s="6" t="n">
        <f aca="false">Y9*Pricing!$C$28</f>
        <v>11819.5021195028</v>
      </c>
      <c r="Z15" s="6" t="n">
        <f aca="false">Z9*Pricing!$C$28</f>
        <v>12765.062289063</v>
      </c>
      <c r="AA15" s="6" t="n">
        <f aca="false">AA9*Pricing!$C$28</f>
        <v>13786.267272188</v>
      </c>
      <c r="AB15" s="6" t="n">
        <f aca="false">AB9*Pricing!$C$28</f>
        <v>14889.1686539631</v>
      </c>
      <c r="AC15" s="6" t="n">
        <f aca="false">AC9*Pricing!$C$28</f>
        <v>16080.3021462801</v>
      </c>
      <c r="AD15" s="6" t="n">
        <f aca="false">AD9*Pricing!$C$28</f>
        <v>17366.7263179825</v>
      </c>
      <c r="AE15" s="6" t="n">
        <f aca="false">AE9*Pricing!$C$28</f>
        <v>18756.0644234211</v>
      </c>
      <c r="AF15" s="6" t="n">
        <f aca="false">AF9*Pricing!$C$28</f>
        <v>20256.5495772948</v>
      </c>
      <c r="AG15" s="6" t="n">
        <f aca="false">AG9*Pricing!$C$28</f>
        <v>21877.0735434784</v>
      </c>
      <c r="AH15" s="6" t="n">
        <f aca="false">AH9*Pricing!$C$28</f>
        <v>23627.2394269567</v>
      </c>
      <c r="AI15" s="6" t="n">
        <f aca="false">AI9*Pricing!$C$28</f>
        <v>25517.4185811132</v>
      </c>
      <c r="AJ15" s="6" t="n">
        <f aca="false">AJ9*Pricing!$C$28</f>
        <v>27558.8120676023</v>
      </c>
      <c r="AK15" s="6" t="n">
        <f aca="false">AK9*Pricing!$C$28</f>
        <v>29763.5170330105</v>
      </c>
      <c r="AL15" s="6" t="n">
        <f aca="false">AL9*Pricing!$C$28</f>
        <v>32144.5983956513</v>
      </c>
    </row>
    <row r="16" customFormat="false" ht="15" hidden="false" customHeight="false" outlineLevel="0" collapsed="false">
      <c r="B16" s="14" t="s">
        <v>271</v>
      </c>
      <c r="C16" s="29" t="n">
        <f aca="false">C14+C15</f>
        <v>0</v>
      </c>
      <c r="D16" s="29" t="n">
        <f aca="false">D14+D15</f>
        <v>0</v>
      </c>
      <c r="E16" s="29" t="n">
        <f aca="false">E14+E15</f>
        <v>0</v>
      </c>
      <c r="F16" s="29" t="n">
        <f aca="false">F14+F15</f>
        <v>0</v>
      </c>
      <c r="G16" s="29" t="n">
        <f aca="false">G14+G15</f>
        <v>0</v>
      </c>
      <c r="H16" s="29" t="n">
        <f aca="false">H14+H15</f>
        <v>0</v>
      </c>
      <c r="I16" s="29" t="n">
        <f aca="false">I14+I15</f>
        <v>11994</v>
      </c>
      <c r="J16" s="29" t="n">
        <f aca="false">J14+J15</f>
        <v>21283.92</v>
      </c>
      <c r="K16" s="29" t="n">
        <f aca="false">K14+K15</f>
        <v>31108.7736</v>
      </c>
      <c r="L16" s="29" t="n">
        <f aca="false">L14+L15</f>
        <v>41516.561988</v>
      </c>
      <c r="M16" s="29" t="n">
        <f aca="false">M14+M15</f>
        <v>52558.99628454</v>
      </c>
      <c r="N16" s="29" t="n">
        <f aca="false">N14+N15</f>
        <v>64291.7975913657</v>
      </c>
      <c r="O16" s="29" t="n">
        <f aca="false">O14+O15</f>
        <v>76775.0209626359</v>
      </c>
      <c r="P16" s="29" t="n">
        <f aca="false">P14+P15</f>
        <v>90073.4052145087</v>
      </c>
      <c r="Q16" s="29" t="n">
        <f aca="false">Q14+Q15</f>
        <v>104256.75064216</v>
      </c>
      <c r="R16" s="29" t="n">
        <f aca="false">R14+R15</f>
        <v>119400.326878761</v>
      </c>
      <c r="S16" s="29" t="n">
        <f aca="false">S14+S15</f>
        <v>135585.313309659</v>
      </c>
      <c r="T16" s="29" t="n">
        <f aca="false">T14+T15</f>
        <v>152899.274648014</v>
      </c>
      <c r="U16" s="29" t="n">
        <f aca="false">U14+U15</f>
        <v>171436.674486598</v>
      </c>
      <c r="V16" s="29" t="n">
        <f aca="false">V14+V15</f>
        <v>191299.4298656</v>
      </c>
      <c r="W16" s="29" t="n">
        <f aca="false">W14+W15</f>
        <v>212597.510139421</v>
      </c>
      <c r="X16" s="29" t="n">
        <f aca="false">X14+X15</f>
        <v>235449.583688033</v>
      </c>
      <c r="Y16" s="29" t="n">
        <f aca="false">Y14+Y15</f>
        <v>259983.716302097</v>
      </c>
      <c r="Z16" s="29" t="n">
        <f aca="false">Z14+Z15</f>
        <v>286338.125377311</v>
      </c>
      <c r="AA16" s="29" t="n">
        <f aca="false">AA14+AA15</f>
        <v>314661.994384266</v>
      </c>
      <c r="AB16" s="29" t="n">
        <f aca="false">AB14+AB15</f>
        <v>345116.352437358</v>
      </c>
      <c r="AC16" s="29" t="n">
        <f aca="false">AC14+AC15</f>
        <v>377875.024172139</v>
      </c>
      <c r="AD16" s="29" t="n">
        <f aca="false">AD14+AD15</f>
        <v>413125.655557207</v>
      </c>
      <c r="AE16" s="29" t="n">
        <f aca="false">AE14+AE15</f>
        <v>451070.821716798</v>
      </c>
      <c r="AF16" s="29" t="n">
        <f aca="false">AF14+AF15</f>
        <v>491929.223326282</v>
      </c>
      <c r="AG16" s="29" t="n">
        <f aca="false">AG14+AG15</f>
        <v>535936.97866772</v>
      </c>
      <c r="AH16" s="29" t="n">
        <f aca="false">AH14+AH15</f>
        <v>583349.01899959</v>
      </c>
      <c r="AI16" s="29" t="n">
        <f aca="false">AI14+AI15</f>
        <v>634440.595507049</v>
      </c>
      <c r="AJ16" s="29" t="n">
        <f aca="false">AJ14+AJ15</f>
        <v>689508.906760417</v>
      </c>
      <c r="AK16" s="29" t="n">
        <f aca="false">AK14+AK15</f>
        <v>748874.856323734</v>
      </c>
      <c r="AL16" s="29" t="n">
        <f aca="false">AL14+AL15</f>
        <v>812884.950926555</v>
      </c>
    </row>
    <row r="18" customFormat="false" ht="15" hidden="false" customHeight="false" outlineLevel="0" collapsed="false">
      <c r="B18" s="2" t="s">
        <v>272</v>
      </c>
      <c r="C18" s="6" t="n">
        <f aca="false">C12*(Assumptions!$F$18*UnitCosts!$C$36+UnitCosts!$C$37)</f>
        <v>0</v>
      </c>
      <c r="D18" s="6" t="n">
        <f aca="false">D12*(Assumptions!$F$18*UnitCosts!$C$36+UnitCosts!$C$37)</f>
        <v>0</v>
      </c>
      <c r="E18" s="6" t="n">
        <f aca="false">E12*(Assumptions!$F$18*UnitCosts!$C$36+UnitCosts!$C$37)</f>
        <v>0</v>
      </c>
      <c r="F18" s="6" t="n">
        <f aca="false">F12*(Assumptions!$F$18*UnitCosts!$C$36+UnitCosts!$C$37)</f>
        <v>0</v>
      </c>
      <c r="G18" s="6" t="n">
        <f aca="false">G12*(Assumptions!$F$18*UnitCosts!$C$36+UnitCosts!$C$37)</f>
        <v>0</v>
      </c>
      <c r="H18" s="6" t="n">
        <f aca="false">H12*(Assumptions!$F$18*UnitCosts!$C$36+UnitCosts!$C$37)</f>
        <v>0</v>
      </c>
      <c r="I18" s="6" t="n">
        <f aca="false">I12*(Assumptions!$F$18*UnitCosts!$C$36+UnitCosts!$C$37)</f>
        <v>972.3105</v>
      </c>
      <c r="J18" s="6" t="n">
        <f aca="false">J12*(Assumptions!$F$18*UnitCosts!$C$36+UnitCosts!$C$37)</f>
        <v>1998.0980775</v>
      </c>
      <c r="K18" s="6" t="n">
        <f aca="false">K12*(Assumptions!$F$18*UnitCosts!$C$36+UnitCosts!$C$37)</f>
        <v>3082.2485927625</v>
      </c>
      <c r="L18" s="6" t="n">
        <f aca="false">L12*(Assumptions!$F$18*UnitCosts!$C$36+UnitCosts!$C$37)</f>
        <v>4230.02358251944</v>
      </c>
      <c r="M18" s="6" t="n">
        <f aca="false">M12*(Assumptions!$F$18*UnitCosts!$C$36+UnitCosts!$C$37)</f>
        <v>5447.09069389853</v>
      </c>
      <c r="N18" s="6" t="n">
        <f aca="false">N12*(Assumptions!$F$18*UnitCosts!$C$36+UnitCosts!$C$37)</f>
        <v>6739.55654356852</v>
      </c>
      <c r="O18" s="6" t="n">
        <f aca="false">O12*(Assumptions!$F$18*UnitCosts!$C$36+UnitCosts!$C$37)</f>
        <v>8114.00219635815</v>
      </c>
      <c r="P18" s="6" t="n">
        <f aca="false">P12*(Assumptions!$F$18*UnitCosts!$C$36+UnitCosts!$C$37)</f>
        <v>9577.52147313835</v>
      </c>
      <c r="Q18" s="6" t="n">
        <f aca="false">Q12*(Assumptions!$F$18*UnitCosts!$C$36+UnitCosts!$C$37)</f>
        <v>11137.7623145342</v>
      </c>
      <c r="R18" s="6" t="n">
        <f aca="false">R12*(Assumptions!$F$18*UnitCosts!$C$36+UnitCosts!$C$37)</f>
        <v>12802.971445153</v>
      </c>
      <c r="S18" s="6" t="n">
        <f aca="false">S12*(Assumptions!$F$18*UnitCosts!$C$36+UnitCosts!$C$37)</f>
        <v>14582.042602585</v>
      </c>
      <c r="T18" s="6" t="n">
        <f aca="false">T12*(Assumptions!$F$18*UnitCosts!$C$36+UnitCosts!$C$37)</f>
        <v>16484.5686165661</v>
      </c>
      <c r="U18" s="6" t="n">
        <f aca="false">U12*(Assumptions!$F$18*UnitCosts!$C$36+UnitCosts!$C$37)</f>
        <v>18520.8976465212</v>
      </c>
      <c r="V18" s="6" t="n">
        <f aca="false">V12*(Assumptions!$F$18*UnitCosts!$C$36+UnitCosts!$C$37)</f>
        <v>20702.1939103571</v>
      </c>
      <c r="W18" s="6" t="n">
        <f aca="false">W12*(Assumptions!$F$18*UnitCosts!$C$36+UnitCosts!$C$37)</f>
        <v>23040.5032639969</v>
      </c>
      <c r="X18" s="6" t="n">
        <f aca="false">X12*(Assumptions!$F$18*UnitCosts!$C$36+UnitCosts!$C$37)</f>
        <v>25548.8240199077</v>
      </c>
      <c r="Y18" s="6" t="n">
        <f aca="false">Y12*(Assumptions!$F$18*UnitCosts!$C$36+UnitCosts!$C$37)</f>
        <v>28241.1834239215</v>
      </c>
      <c r="Z18" s="6" t="n">
        <f aca="false">Z12*(Assumptions!$F$18*UnitCosts!$C$36+UnitCosts!$C$37)</f>
        <v>31132.7202431959</v>
      </c>
      <c r="AA18" s="6" t="n">
        <f aca="false">AA12*(Assumptions!$F$18*UnitCosts!$C$36+UnitCosts!$C$37)</f>
        <v>34239.7739543783</v>
      </c>
      <c r="AB18" s="6" t="n">
        <f aca="false">AB12*(Assumptions!$F$18*UnitCosts!$C$36+UnitCosts!$C$37)</f>
        <v>37579.9810601621</v>
      </c>
      <c r="AC18" s="6" t="n">
        <f aca="false">AC12*(Assumptions!$F$18*UnitCosts!$C$36+UnitCosts!$C$37)</f>
        <v>41172.3791046727</v>
      </c>
      <c r="AD18" s="6" t="n">
        <f aca="false">AD12*(Assumptions!$F$18*UnitCosts!$C$36+UnitCosts!$C$37)</f>
        <v>45037.5190037518</v>
      </c>
      <c r="AE18" s="6" t="n">
        <f aca="false">AE12*(Assumptions!$F$18*UnitCosts!$C$36+UnitCosts!$C$37)</f>
        <v>49197.5863554895</v>
      </c>
      <c r="AF18" s="6" t="n">
        <f aca="false">AF12*(Assumptions!$F$18*UnitCosts!$C$36+UnitCosts!$C$37)</f>
        <v>53676.5324495804</v>
      </c>
      <c r="AG18" s="6" t="n">
        <f aca="false">AG12*(Assumptions!$F$18*UnitCosts!$C$36+UnitCosts!$C$37)</f>
        <v>58500.2157515572</v>
      </c>
      <c r="AH18" s="6" t="n">
        <f aca="false">AH12*(Assumptions!$F$18*UnitCosts!$C$36+UnitCosts!$C$37)</f>
        <v>63696.5547000418</v>
      </c>
      <c r="AI18" s="6" t="n">
        <f aca="false">AI12*(Assumptions!$F$18*UnitCosts!$C$36+UnitCosts!$C$37)</f>
        <v>69295.6927221963</v>
      </c>
      <c r="AJ18" s="6" t="n">
        <f aca="false">AJ12*(Assumptions!$F$18*UnitCosts!$C$36+UnitCosts!$C$37)</f>
        <v>75330.1764449693</v>
      </c>
      <c r="AK18" s="6" t="n">
        <f aca="false">AK12*(Assumptions!$F$18*UnitCosts!$C$36+UnitCosts!$C$37)</f>
        <v>81835.1481579393</v>
      </c>
      <c r="AL18" s="6" t="n">
        <f aca="false">AL12*(Assumptions!$F$18*UnitCosts!$C$36+UnitCosts!$C$37)</f>
        <v>88848.5536680125</v>
      </c>
    </row>
    <row r="19" customFormat="false" ht="15" hidden="false" customHeight="false" outlineLevel="0" collapsed="false">
      <c r="B19" s="2" t="s">
        <v>273</v>
      </c>
      <c r="C19" s="6" t="n">
        <f aca="false">C12*Assumptions!$F$18*UnitCosts!$C$28</f>
        <v>0</v>
      </c>
      <c r="D19" s="6" t="n">
        <f aca="false">D12*Assumptions!$F$18*UnitCosts!$C$28</f>
        <v>0</v>
      </c>
      <c r="E19" s="6" t="n">
        <f aca="false">E12*Assumptions!$F$18*UnitCosts!$C$28</f>
        <v>0</v>
      </c>
      <c r="F19" s="6" t="n">
        <f aca="false">F12*Assumptions!$F$18*UnitCosts!$C$28</f>
        <v>0</v>
      </c>
      <c r="G19" s="6" t="n">
        <f aca="false">G12*Assumptions!$F$18*UnitCosts!$C$28</f>
        <v>0</v>
      </c>
      <c r="H19" s="6" t="n">
        <f aca="false">H12*Assumptions!$F$18*UnitCosts!$C$28</f>
        <v>0</v>
      </c>
      <c r="I19" s="6" t="n">
        <f aca="false">I12*Assumptions!$F$18*UnitCosts!$C$28</f>
        <v>226.8</v>
      </c>
      <c r="J19" s="6" t="n">
        <f aca="false">J12*Assumptions!$F$18*UnitCosts!$C$28</f>
        <v>466.074</v>
      </c>
      <c r="K19" s="6" t="n">
        <f aca="false">K12*Assumptions!$F$18*UnitCosts!$C$28</f>
        <v>718.96167</v>
      </c>
      <c r="L19" s="6" t="n">
        <f aca="false">L12*Assumptions!$F$18*UnitCosts!$C$28</f>
        <v>986.69030985</v>
      </c>
      <c r="M19" s="6" t="n">
        <f aca="false">M12*Assumptions!$F$18*UnitCosts!$C$28</f>
        <v>1270.58194823175</v>
      </c>
      <c r="N19" s="6" t="n">
        <f aca="false">N12*Assumptions!$F$18*UnitCosts!$C$28</f>
        <v>1572.0610073442</v>
      </c>
      <c r="O19" s="6" t="n">
        <f aca="false">O12*Assumptions!$F$18*UnitCosts!$C$28</f>
        <v>1892.66257860429</v>
      </c>
      <c r="P19" s="6" t="n">
        <f aca="false">P12*Assumptions!$F$18*UnitCosts!$C$28</f>
        <v>2234.04135829838</v>
      </c>
      <c r="Q19" s="6" t="n">
        <f aca="false">Q12*Assumptions!$F$18*UnitCosts!$C$28</f>
        <v>2597.98129603285</v>
      </c>
      <c r="R19" s="6" t="n">
        <f aca="false">R12*Assumptions!$F$18*UnitCosts!$C$28</f>
        <v>2986.40601305932</v>
      </c>
      <c r="S19" s="6" t="n">
        <f aca="false">S12*Assumptions!$F$18*UnitCosts!$C$28</f>
        <v>3401.3900521143</v>
      </c>
      <c r="T19" s="6" t="n">
        <f aca="false">T12*Assumptions!$F$18*UnitCosts!$C$28</f>
        <v>3845.17102534343</v>
      </c>
      <c r="U19" s="6" t="n">
        <f aca="false">U12*Assumptions!$F$18*UnitCosts!$C$28</f>
        <v>4320.16273220439</v>
      </c>
      <c r="V19" s="6" t="n">
        <f aca="false">V12*Assumptions!$F$18*UnitCosts!$C$28</f>
        <v>4828.96932499339</v>
      </c>
      <c r="W19" s="6" t="n">
        <f aca="false">W12*Assumptions!$F$18*UnitCosts!$C$28</f>
        <v>5374.40060585019</v>
      </c>
      <c r="X19" s="6" t="n">
        <f aca="false">X12*Assumptions!$F$18*UnitCosts!$C$28</f>
        <v>5959.4885458041</v>
      </c>
      <c r="Y19" s="6" t="n">
        <f aca="false">Y12*Assumptions!$F$18*UnitCosts!$C$28</f>
        <v>6587.50512366718</v>
      </c>
      <c r="Z19" s="6" t="n">
        <f aca="false">Z12*Assumptions!$F$18*UnitCosts!$C$28</f>
        <v>7261.98159040434</v>
      </c>
      <c r="AA19" s="6" t="n">
        <f aca="false">AA12*Assumptions!$F$18*UnitCosts!$C$28</f>
        <v>7986.72927305937</v>
      </c>
      <c r="AB19" s="6" t="n">
        <f aca="false">AB12*Assumptions!$F$18*UnitCosts!$C$28</f>
        <v>8765.86204144124</v>
      </c>
      <c r="AC19" s="6" t="n">
        <f aca="false">AC12*Assumptions!$F$18*UnitCosts!$C$28</f>
        <v>9603.82057063024</v>
      </c>
      <c r="AD19" s="6" t="n">
        <f aca="false">AD12*Assumptions!$F$18*UnitCosts!$C$28</f>
        <v>10505.3985430075</v>
      </c>
      <c r="AE19" s="6" t="n">
        <f aca="false">AE12*Assumptions!$F$18*UnitCosts!$C$28</f>
        <v>11475.7709450068</v>
      </c>
      <c r="AF19" s="6" t="n">
        <f aca="false">AF12*Assumptions!$F$18*UnitCosts!$C$28</f>
        <v>12520.524626202</v>
      </c>
      <c r="AG19" s="6" t="n">
        <f aca="false">AG12*Assumptions!$F$18*UnitCosts!$C$28</f>
        <v>13645.6913017531</v>
      </c>
      <c r="AH19" s="6" t="n">
        <f aca="false">AH12*Assumptions!$F$18*UnitCosts!$C$28</f>
        <v>14857.7831937118</v>
      </c>
      <c r="AI19" s="6" t="n">
        <f aca="false">AI12*Assumptions!$F$18*UnitCosts!$C$28</f>
        <v>16163.8315223317</v>
      </c>
      <c r="AJ19" s="6" t="n">
        <f aca="false">AJ12*Assumptions!$F$18*UnitCosts!$C$28</f>
        <v>17571.4280754132</v>
      </c>
      <c r="AK19" s="6" t="n">
        <f aca="false">AK12*Assumptions!$F$18*UnitCosts!$C$28</f>
        <v>19088.7701019588</v>
      </c>
      <c r="AL19" s="6" t="n">
        <f aca="false">AL12*Assumptions!$F$18*UnitCosts!$C$28</f>
        <v>20724.7087961153</v>
      </c>
    </row>
    <row r="20" customFormat="false" ht="15" hidden="false" customHeight="false" outlineLevel="0" collapsed="false">
      <c r="B20" s="2" t="s">
        <v>274</v>
      </c>
      <c r="C20" s="6" t="n">
        <f aca="false">IF(C4&gt;=Assumptions!$F$7-1,Infrastructure!$C$18,Infrastructure!$C$18*Assumptions!$F$29)</f>
        <v>1180</v>
      </c>
      <c r="D20" s="6" t="n">
        <f aca="false">IF(D4&gt;=Assumptions!$F$7-1,Infrastructure!$C$18,Infrastructure!$C$18*Assumptions!$F$29)</f>
        <v>1180</v>
      </c>
      <c r="E20" s="6" t="n">
        <f aca="false">IF(E4&gt;=Assumptions!$F$7-1,Infrastructure!$C$18,Infrastructure!$C$18*Assumptions!$F$29)</f>
        <v>1180</v>
      </c>
      <c r="F20" s="6" t="n">
        <f aca="false">IF(F4&gt;=Assumptions!$F$7-1,Infrastructure!$C$18,Infrastructure!$C$18*Assumptions!$F$29)</f>
        <v>1180</v>
      </c>
      <c r="G20" s="6" t="n">
        <f aca="false">IF(G4&gt;=Assumptions!$F$7-1,Infrastructure!$C$18,Infrastructure!$C$18*Assumptions!$F$29)</f>
        <v>1180</v>
      </c>
      <c r="H20" s="6" t="n">
        <f aca="false">IF(H4&gt;=Assumptions!$F$7-1,Infrastructure!$C$18,Infrastructure!$C$18*Assumptions!$F$29)</f>
        <v>2950</v>
      </c>
      <c r="I20" s="6" t="n">
        <f aca="false">IF(I4&gt;=Assumptions!$F$7-1,Infrastructure!$C$18,Infrastructure!$C$18*Assumptions!$F$29)</f>
        <v>2950</v>
      </c>
      <c r="J20" s="6" t="n">
        <f aca="false">IF(J4&gt;=Assumptions!$F$7-1,Infrastructure!$C$18,Infrastructure!$C$18*Assumptions!$F$29)</f>
        <v>2950</v>
      </c>
      <c r="K20" s="6" t="n">
        <f aca="false">IF(K4&gt;=Assumptions!$F$7-1,Infrastructure!$C$18,Infrastructure!$C$18*Assumptions!$F$29)</f>
        <v>2950</v>
      </c>
      <c r="L20" s="6" t="n">
        <f aca="false">IF(L4&gt;=Assumptions!$F$7-1,Infrastructure!$C$18,Infrastructure!$C$18*Assumptions!$F$29)</f>
        <v>2950</v>
      </c>
      <c r="M20" s="6" t="n">
        <f aca="false">IF(M4&gt;=Assumptions!$F$7-1,Infrastructure!$C$18,Infrastructure!$C$18*Assumptions!$F$29)</f>
        <v>2950</v>
      </c>
      <c r="N20" s="6" t="n">
        <f aca="false">IF(N4&gt;=Assumptions!$F$7-1,Infrastructure!$C$18,Infrastructure!$C$18*Assumptions!$F$29)</f>
        <v>2950</v>
      </c>
      <c r="O20" s="6" t="n">
        <f aca="false">IF(O4&gt;=Assumptions!$F$7-1,Infrastructure!$C$18,Infrastructure!$C$18*Assumptions!$F$29)</f>
        <v>2950</v>
      </c>
      <c r="P20" s="6" t="n">
        <f aca="false">IF(P4&gt;=Assumptions!$F$7-1,Infrastructure!$C$18,Infrastructure!$C$18*Assumptions!$F$29)</f>
        <v>2950</v>
      </c>
      <c r="Q20" s="6" t="n">
        <f aca="false">IF(Q4&gt;=Assumptions!$F$7-1,Infrastructure!$C$18,Infrastructure!$C$18*Assumptions!$F$29)</f>
        <v>2950</v>
      </c>
      <c r="R20" s="6" t="n">
        <f aca="false">IF(R4&gt;=Assumptions!$F$7-1,Infrastructure!$C$18,Infrastructure!$C$18*Assumptions!$F$29)</f>
        <v>2950</v>
      </c>
      <c r="S20" s="6" t="n">
        <f aca="false">IF(S4&gt;=Assumptions!$F$7-1,Infrastructure!$C$18,Infrastructure!$C$18*Assumptions!$F$29)</f>
        <v>2950</v>
      </c>
      <c r="T20" s="6" t="n">
        <f aca="false">IF(T4&gt;=Assumptions!$F$7-1,Infrastructure!$C$18,Infrastructure!$C$18*Assumptions!$F$29)</f>
        <v>2950</v>
      </c>
      <c r="U20" s="6" t="n">
        <f aca="false">IF(U4&gt;=Assumptions!$F$7-1,Infrastructure!$C$18,Infrastructure!$C$18*Assumptions!$F$29)</f>
        <v>2950</v>
      </c>
      <c r="V20" s="6" t="n">
        <f aca="false">IF(V4&gt;=Assumptions!$F$7-1,Infrastructure!$C$18,Infrastructure!$C$18*Assumptions!$F$29)</f>
        <v>2950</v>
      </c>
      <c r="W20" s="6" t="n">
        <f aca="false">IF(W4&gt;=Assumptions!$F$7-1,Infrastructure!$C$18,Infrastructure!$C$18*Assumptions!$F$29)</f>
        <v>2950</v>
      </c>
      <c r="X20" s="6" t="n">
        <f aca="false">IF(X4&gt;=Assumptions!$F$7-1,Infrastructure!$C$18,Infrastructure!$C$18*Assumptions!$F$29)</f>
        <v>2950</v>
      </c>
      <c r="Y20" s="6" t="n">
        <f aca="false">IF(Y4&gt;=Assumptions!$F$7-1,Infrastructure!$C$18,Infrastructure!$C$18*Assumptions!$F$29)</f>
        <v>2950</v>
      </c>
      <c r="Z20" s="6" t="n">
        <f aca="false">IF(Z4&gt;=Assumptions!$F$7-1,Infrastructure!$C$18,Infrastructure!$C$18*Assumptions!$F$29)</f>
        <v>2950</v>
      </c>
      <c r="AA20" s="6" t="n">
        <f aca="false">IF(AA4&gt;=Assumptions!$F$7-1,Infrastructure!$C$18,Infrastructure!$C$18*Assumptions!$F$29)</f>
        <v>2950</v>
      </c>
      <c r="AB20" s="6" t="n">
        <f aca="false">IF(AB4&gt;=Assumptions!$F$7-1,Infrastructure!$C$18,Infrastructure!$C$18*Assumptions!$F$29)</f>
        <v>2950</v>
      </c>
      <c r="AC20" s="6" t="n">
        <f aca="false">IF(AC4&gt;=Assumptions!$F$7-1,Infrastructure!$C$18,Infrastructure!$C$18*Assumptions!$F$29)</f>
        <v>2950</v>
      </c>
      <c r="AD20" s="6" t="n">
        <f aca="false">IF(AD4&gt;=Assumptions!$F$7-1,Infrastructure!$C$18,Infrastructure!$C$18*Assumptions!$F$29)</f>
        <v>2950</v>
      </c>
      <c r="AE20" s="6" t="n">
        <f aca="false">IF(AE4&gt;=Assumptions!$F$7-1,Infrastructure!$C$18,Infrastructure!$C$18*Assumptions!$F$29)</f>
        <v>2950</v>
      </c>
      <c r="AF20" s="6" t="n">
        <f aca="false">IF(AF4&gt;=Assumptions!$F$7-1,Infrastructure!$C$18,Infrastructure!$C$18*Assumptions!$F$29)</f>
        <v>2950</v>
      </c>
      <c r="AG20" s="6" t="n">
        <f aca="false">IF(AG4&gt;=Assumptions!$F$7-1,Infrastructure!$C$18,Infrastructure!$C$18*Assumptions!$F$29)</f>
        <v>2950</v>
      </c>
      <c r="AH20" s="6" t="n">
        <f aca="false">IF(AH4&gt;=Assumptions!$F$7-1,Infrastructure!$C$18,Infrastructure!$C$18*Assumptions!$F$29)</f>
        <v>2950</v>
      </c>
      <c r="AI20" s="6" t="n">
        <f aca="false">IF(AI4&gt;=Assumptions!$F$7-1,Infrastructure!$C$18,Infrastructure!$C$18*Assumptions!$F$29)</f>
        <v>2950</v>
      </c>
      <c r="AJ20" s="6" t="n">
        <f aca="false">IF(AJ4&gt;=Assumptions!$F$7-1,Infrastructure!$C$18,Infrastructure!$C$18*Assumptions!$F$29)</f>
        <v>2950</v>
      </c>
      <c r="AK20" s="6" t="n">
        <f aca="false">IF(AK4&gt;=Assumptions!$F$7-1,Infrastructure!$C$18,Infrastructure!$C$18*Assumptions!$F$29)</f>
        <v>2950</v>
      </c>
      <c r="AL20" s="6" t="n">
        <f aca="false">IF(AL4&gt;=Assumptions!$F$7-1,Infrastructure!$C$18,Infrastructure!$C$18*Assumptions!$F$29)</f>
        <v>2950</v>
      </c>
    </row>
    <row r="21" customFormat="false" ht="15" hidden="false" customHeight="false" outlineLevel="0" collapsed="false">
      <c r="B21" s="2" t="s">
        <v>275</v>
      </c>
      <c r="C21" s="6" t="n">
        <f aca="false">C12*Assumptions!$F$27+C11*Assumptions!$F$28</f>
        <v>0</v>
      </c>
      <c r="D21" s="6" t="n">
        <f aca="false">D12*Assumptions!$F$27+D11*Assumptions!$F$28</f>
        <v>0</v>
      </c>
      <c r="E21" s="6" t="n">
        <f aca="false">E12*Assumptions!$F$27+E11*Assumptions!$F$28</f>
        <v>0</v>
      </c>
      <c r="F21" s="6" t="n">
        <f aca="false">F12*Assumptions!$F$27+F11*Assumptions!$F$28</f>
        <v>0</v>
      </c>
      <c r="G21" s="6" t="n">
        <f aca="false">G12*Assumptions!$F$27+G11*Assumptions!$F$28</f>
        <v>0</v>
      </c>
      <c r="H21" s="6" t="n">
        <f aca="false">H12*Assumptions!$F$27+H11*Assumptions!$F$28</f>
        <v>0</v>
      </c>
      <c r="I21" s="6" t="n">
        <f aca="false">I12*Assumptions!$F$27+I11*Assumptions!$F$28</f>
        <v>232.8</v>
      </c>
      <c r="J21" s="6" t="n">
        <f aca="false">J12*Assumptions!$F$27+J11*Assumptions!$F$28</f>
        <v>478.404</v>
      </c>
      <c r="K21" s="6" t="n">
        <f aca="false">K12*Assumptions!$F$27+K11*Assumptions!$F$28</f>
        <v>737.98182</v>
      </c>
      <c r="L21" s="6" t="n">
        <f aca="false">L12*Assumptions!$F$27+L11*Assumptions!$F$28</f>
        <v>1012.7932281</v>
      </c>
      <c r="M21" s="6" t="n">
        <f aca="false">M12*Assumptions!$F$27+M11*Assumptions!$F$28</f>
        <v>1304.1952272855</v>
      </c>
      <c r="N21" s="6" t="n">
        <f aca="false">N12*Assumptions!$F$27+N11*Assumptions!$F$28</f>
        <v>1613.6499228824</v>
      </c>
      <c r="O21" s="6" t="n">
        <f aca="false">O12*Assumptions!$F$27+O11*Assumptions!$F$28</f>
        <v>1942.73301719171</v>
      </c>
      <c r="P21" s="6" t="n">
        <f aca="false">P12*Assumptions!$F$27+P11*Assumptions!$F$28</f>
        <v>2293.14298153379</v>
      </c>
      <c r="Q21" s="6" t="n">
        <f aca="false">Q12*Assumptions!$F$27+Q11*Assumptions!$F$28</f>
        <v>2666.71095994906</v>
      </c>
      <c r="R21" s="6" t="n">
        <f aca="false">R12*Assumptions!$F$27+R11*Assumptions!$F$28</f>
        <v>3065.41146314025</v>
      </c>
      <c r="S21" s="6" t="n">
        <f aca="false">S12*Assumptions!$F$27+S11*Assumptions!$F$28</f>
        <v>3491.37391592685</v>
      </c>
      <c r="T21" s="6" t="n">
        <f aca="false">T12*Assumptions!$F$27+T11*Assumptions!$F$28</f>
        <v>3946.89512654299</v>
      </c>
      <c r="U21" s="6" t="n">
        <f aca="false">U12*Assumptions!$F$27+U11*Assumptions!$F$28</f>
        <v>4434.45275157488</v>
      </c>
      <c r="V21" s="6" t="n">
        <f aca="false">V12*Assumptions!$F$27+V11*Assumptions!$F$28</f>
        <v>4956.7198362366</v>
      </c>
      <c r="W21" s="6" t="n">
        <f aca="false">W12*Assumptions!$F$27+W11*Assumptions!$F$28</f>
        <v>5516.58051605787</v>
      </c>
      <c r="X21" s="6" t="n">
        <f aca="false">X12*Assumptions!$F$27+X11*Assumptions!$F$28</f>
        <v>6117.14697294178</v>
      </c>
      <c r="Y21" s="6" t="n">
        <f aca="false">Y12*Assumptions!$F$27+Y11*Assumptions!$F$28</f>
        <v>6761.77774598642</v>
      </c>
      <c r="Z21" s="6" t="n">
        <f aca="false">Z12*Assumptions!$F$27+Z11*Assumptions!$F$28</f>
        <v>7454.0975054944</v>
      </c>
      <c r="AA21" s="6" t="n">
        <f aca="false">AA12*Assumptions!$F$27+AA11*Assumptions!$F$28</f>
        <v>8198.01840726729</v>
      </c>
      <c r="AB21" s="6" t="n">
        <f aca="false">AB12*Assumptions!$F$27+AB11*Assumptions!$F$28</f>
        <v>8997.76315364868</v>
      </c>
      <c r="AC21" s="6" t="n">
        <f aca="false">AC12*Assumptions!$F$27+AC11*Assumptions!$F$28</f>
        <v>9857.88989789559</v>
      </c>
      <c r="AD21" s="6" t="n">
        <f aca="false">AD12*Assumptions!$F$27+AD11*Assumptions!$F$28</f>
        <v>10783.3191393834</v>
      </c>
      <c r="AE21" s="6" t="n">
        <f aca="false">AE12*Assumptions!$F$27+AE11*Assumptions!$F$28</f>
        <v>11779.3627689488</v>
      </c>
      <c r="AF21" s="6" t="n">
        <f aca="false">AF12*Assumptions!$F$27+AF11*Assumptions!$F$28</f>
        <v>12851.755436419</v>
      </c>
      <c r="AG21" s="6" t="n">
        <f aca="false">AG12*Assumptions!$F$27+AG11*Assumptions!$F$28</f>
        <v>14006.6884261381</v>
      </c>
      <c r="AH21" s="6" t="n">
        <f aca="false">AH12*Assumptions!$F$27+AH11*Assumptions!$F$28</f>
        <v>15250.8462411645</v>
      </c>
      <c r="AI21" s="6" t="n">
        <f aca="false">AI12*Assumptions!$F$27+AI11*Assumptions!$F$28</f>
        <v>16591.4461128696</v>
      </c>
      <c r="AJ21" s="6" t="n">
        <f aca="false">AJ12*Assumptions!$F$27+AJ11*Assumptions!$F$28</f>
        <v>18036.2806700008</v>
      </c>
      <c r="AK21" s="6" t="n">
        <f aca="false">AK12*Assumptions!$F$27+AK11*Assumptions!$F$28</f>
        <v>19593.7640200001</v>
      </c>
      <c r="AL21" s="6" t="n">
        <f aca="false">AL12*Assumptions!$F$27+AL11*Assumptions!$F$28</f>
        <v>21272.9815155892</v>
      </c>
    </row>
    <row r="22" customFormat="false" ht="15" hidden="false" customHeight="false" outlineLevel="0" collapsed="false">
      <c r="B22" s="2" t="s">
        <v>276</v>
      </c>
      <c r="C22" s="6" t="n">
        <f aca="false">C16*Assumptions!$F$26</f>
        <v>0</v>
      </c>
      <c r="D22" s="6" t="n">
        <f aca="false">D16*Assumptions!$F$26</f>
        <v>0</v>
      </c>
      <c r="E22" s="6" t="n">
        <f aca="false">E16*Assumptions!$F$26</f>
        <v>0</v>
      </c>
      <c r="F22" s="6" t="n">
        <f aca="false">F16*Assumptions!$F$26</f>
        <v>0</v>
      </c>
      <c r="G22" s="6" t="n">
        <f aca="false">G16*Assumptions!$F$26</f>
        <v>0</v>
      </c>
      <c r="H22" s="6" t="n">
        <f aca="false">H16*Assumptions!$F$26</f>
        <v>0</v>
      </c>
      <c r="I22" s="6" t="n">
        <f aca="false">I16*Assumptions!$F$26</f>
        <v>347.826</v>
      </c>
      <c r="J22" s="6" t="n">
        <f aca="false">J16*Assumptions!$F$26</f>
        <v>617.23368</v>
      </c>
      <c r="K22" s="6" t="n">
        <f aca="false">K16*Assumptions!$F$26</f>
        <v>902.1544344</v>
      </c>
      <c r="L22" s="6" t="n">
        <f aca="false">L16*Assumptions!$F$26</f>
        <v>1203.980297652</v>
      </c>
      <c r="M22" s="6" t="n">
        <f aca="false">M16*Assumptions!$F$26</f>
        <v>1524.21089225166</v>
      </c>
      <c r="N22" s="6" t="n">
        <f aca="false">N16*Assumptions!$F$26</f>
        <v>1864.46213014961</v>
      </c>
      <c r="O22" s="6" t="n">
        <f aca="false">O16*Assumptions!$F$26</f>
        <v>2226.47560791644</v>
      </c>
      <c r="P22" s="6" t="n">
        <f aca="false">P16*Assumptions!$F$26</f>
        <v>2612.12875122075</v>
      </c>
      <c r="Q22" s="6" t="n">
        <f aca="false">Q16*Assumptions!$F$26</f>
        <v>3023.44576862263</v>
      </c>
      <c r="R22" s="6" t="n">
        <f aca="false">R16*Assumptions!$F$26</f>
        <v>3462.60947948406</v>
      </c>
      <c r="S22" s="6" t="n">
        <f aca="false">S16*Assumptions!$F$26</f>
        <v>3931.97408598011</v>
      </c>
      <c r="T22" s="6" t="n">
        <f aca="false">T16*Assumptions!$F$26</f>
        <v>4434.07896479241</v>
      </c>
      <c r="U22" s="6" t="n">
        <f aca="false">U16*Assumptions!$F$26</f>
        <v>4971.66356011135</v>
      </c>
      <c r="V22" s="6" t="n">
        <f aca="false">V16*Assumptions!$F$26</f>
        <v>5547.68346610241</v>
      </c>
      <c r="W22" s="6" t="n">
        <f aca="false">W16*Assumptions!$F$26</f>
        <v>6165.32779404321</v>
      </c>
      <c r="X22" s="6" t="n">
        <f aca="false">X16*Assumptions!$F$26</f>
        <v>6828.03792695295</v>
      </c>
      <c r="Y22" s="6" t="n">
        <f aca="false">Y16*Assumptions!$F$26</f>
        <v>7539.52777276081</v>
      </c>
      <c r="Z22" s="6" t="n">
        <f aca="false">Z16*Assumptions!$F$26</f>
        <v>8303.80563594202</v>
      </c>
      <c r="AA22" s="6" t="n">
        <f aca="false">AA16*Assumptions!$F$26</f>
        <v>9125.19783714371</v>
      </c>
      <c r="AB22" s="6" t="n">
        <f aca="false">AB16*Assumptions!$F$26</f>
        <v>10008.3742206834</v>
      </c>
      <c r="AC22" s="6" t="n">
        <f aca="false">AC16*Assumptions!$F$26</f>
        <v>10958.375700992</v>
      </c>
      <c r="AD22" s="6" t="n">
        <f aca="false">AD16*Assumptions!$F$26</f>
        <v>11980.644011159</v>
      </c>
      <c r="AE22" s="6" t="n">
        <f aca="false">AE16*Assumptions!$F$26</f>
        <v>13081.0538297872</v>
      </c>
      <c r="AF22" s="6" t="n">
        <f aca="false">AF16*Assumptions!$F$26</f>
        <v>14265.9474764622</v>
      </c>
      <c r="AG22" s="6" t="n">
        <f aca="false">AG16*Assumptions!$F$26</f>
        <v>15542.1723813639</v>
      </c>
      <c r="AH22" s="6" t="n">
        <f aca="false">AH16*Assumptions!$F$26</f>
        <v>16917.1215509881</v>
      </c>
      <c r="AI22" s="6" t="n">
        <f aca="false">AI16*Assumptions!$F$26</f>
        <v>18398.7772697044</v>
      </c>
      <c r="AJ22" s="6" t="n">
        <f aca="false">AJ16*Assumptions!$F$26</f>
        <v>19995.7582960521</v>
      </c>
      <c r="AK22" s="6" t="n">
        <f aca="false">AK16*Assumptions!$F$26</f>
        <v>21717.3708333883</v>
      </c>
      <c r="AL22" s="6" t="n">
        <f aca="false">AL16*Assumptions!$F$26</f>
        <v>23573.6635768701</v>
      </c>
    </row>
    <row r="23" customFormat="false" ht="15" hidden="false" customHeight="false" outlineLevel="0" collapsed="false">
      <c r="B23" s="2" t="s">
        <v>277</v>
      </c>
      <c r="C23" s="6" t="n">
        <f aca="false">IF(C6=1,MAX(1,ROUNDUP(C11/Assumptions!$F$20,0))*Assumptions!$F$24,0)</f>
        <v>0</v>
      </c>
      <c r="D23" s="6" t="n">
        <f aca="false">IF(D6=1,MAX(1,ROUNDUP(D11/Assumptions!$F$20,0))*Assumptions!$F$24,0)</f>
        <v>0</v>
      </c>
      <c r="E23" s="6" t="n">
        <f aca="false">IF(E6=1,MAX(1,ROUNDUP(E11/Assumptions!$F$20,0))*Assumptions!$F$24,0)</f>
        <v>0</v>
      </c>
      <c r="F23" s="6" t="n">
        <f aca="false">IF(F6=1,MAX(1,ROUNDUP(F11/Assumptions!$F$20,0))*Assumptions!$F$24,0)</f>
        <v>0</v>
      </c>
      <c r="G23" s="6" t="n">
        <f aca="false">IF(G6=1,MAX(1,ROUNDUP(G11/Assumptions!$F$20,0))*Assumptions!$F$24,0)</f>
        <v>0</v>
      </c>
      <c r="H23" s="6" t="n">
        <f aca="false">IF(H6=1,MAX(1,ROUNDUP(H11/Assumptions!$F$20,0))*Assumptions!$F$24,0)</f>
        <v>0</v>
      </c>
      <c r="I23" s="6" t="n">
        <f aca="false">IF(I6=1,MAX(1,ROUNDUP(I11/Assumptions!$F$20,0))*Assumptions!$F$24,0)</f>
        <v>8500</v>
      </c>
      <c r="J23" s="6" t="n">
        <f aca="false">IF(J6=1,MAX(1,ROUNDUP(J11/Assumptions!$F$20,0))*Assumptions!$F$24,0)</f>
        <v>8500</v>
      </c>
      <c r="K23" s="6" t="n">
        <f aca="false">IF(K6=1,MAX(1,ROUNDUP(K11/Assumptions!$F$20,0))*Assumptions!$F$24,0)</f>
        <v>8500</v>
      </c>
      <c r="L23" s="6" t="n">
        <f aca="false">IF(L6=1,MAX(1,ROUNDUP(L11/Assumptions!$F$20,0))*Assumptions!$F$24,0)</f>
        <v>8500</v>
      </c>
      <c r="M23" s="6" t="n">
        <f aca="false">IF(M6=1,MAX(1,ROUNDUP(M11/Assumptions!$F$20,0))*Assumptions!$F$24,0)</f>
        <v>8500</v>
      </c>
      <c r="N23" s="6" t="n">
        <f aca="false">IF(N6=1,MAX(1,ROUNDUP(N11/Assumptions!$F$20,0))*Assumptions!$F$24,0)</f>
        <v>8500</v>
      </c>
      <c r="O23" s="6" t="n">
        <f aca="false">IF(O6=1,MAX(1,ROUNDUP(O11/Assumptions!$F$20,0))*Assumptions!$F$24,0)</f>
        <v>8500</v>
      </c>
      <c r="P23" s="6" t="n">
        <f aca="false">IF(P6=1,MAX(1,ROUNDUP(P11/Assumptions!$F$20,0))*Assumptions!$F$24,0)</f>
        <v>8500</v>
      </c>
      <c r="Q23" s="6" t="n">
        <f aca="false">IF(Q6=1,MAX(1,ROUNDUP(Q11/Assumptions!$F$20,0))*Assumptions!$F$24,0)</f>
        <v>17000</v>
      </c>
      <c r="R23" s="6" t="n">
        <f aca="false">IF(R6=1,MAX(1,ROUNDUP(R11/Assumptions!$F$20,0))*Assumptions!$F$24,0)</f>
        <v>17000</v>
      </c>
      <c r="S23" s="6" t="n">
        <f aca="false">IF(S6=1,MAX(1,ROUNDUP(S11/Assumptions!$F$20,0))*Assumptions!$F$24,0)</f>
        <v>17000</v>
      </c>
      <c r="T23" s="6" t="n">
        <f aca="false">IF(T6=1,MAX(1,ROUNDUP(T11/Assumptions!$F$20,0))*Assumptions!$F$24,0)</f>
        <v>17000</v>
      </c>
      <c r="U23" s="6" t="n">
        <f aca="false">IF(U6=1,MAX(1,ROUNDUP(U11/Assumptions!$F$20,0))*Assumptions!$F$24,0)</f>
        <v>17000</v>
      </c>
      <c r="V23" s="6" t="n">
        <f aca="false">IF(V6=1,MAX(1,ROUNDUP(V11/Assumptions!$F$20,0))*Assumptions!$F$24,0)</f>
        <v>25500</v>
      </c>
      <c r="W23" s="6" t="n">
        <f aca="false">IF(W6=1,MAX(1,ROUNDUP(W11/Assumptions!$F$20,0))*Assumptions!$F$24,0)</f>
        <v>25500</v>
      </c>
      <c r="X23" s="6" t="n">
        <f aca="false">IF(X6=1,MAX(1,ROUNDUP(X11/Assumptions!$F$20,0))*Assumptions!$F$24,0)</f>
        <v>25500</v>
      </c>
      <c r="Y23" s="6" t="n">
        <f aca="false">IF(Y6=1,MAX(1,ROUNDUP(Y11/Assumptions!$F$20,0))*Assumptions!$F$24,0)</f>
        <v>25500</v>
      </c>
      <c r="Z23" s="6" t="n">
        <f aca="false">IF(Z6=1,MAX(1,ROUNDUP(Z11/Assumptions!$F$20,0))*Assumptions!$F$24,0)</f>
        <v>34000</v>
      </c>
      <c r="AA23" s="6" t="n">
        <f aca="false">IF(AA6=1,MAX(1,ROUNDUP(AA11/Assumptions!$F$20,0))*Assumptions!$F$24,0)</f>
        <v>34000</v>
      </c>
      <c r="AB23" s="6" t="n">
        <f aca="false">IF(AB6=1,MAX(1,ROUNDUP(AB11/Assumptions!$F$20,0))*Assumptions!$F$24,0)</f>
        <v>34000</v>
      </c>
      <c r="AC23" s="6" t="n">
        <f aca="false">IF(AC6=1,MAX(1,ROUNDUP(AC11/Assumptions!$F$20,0))*Assumptions!$F$24,0)</f>
        <v>42500</v>
      </c>
      <c r="AD23" s="6" t="n">
        <f aca="false">IF(AD6=1,MAX(1,ROUNDUP(AD11/Assumptions!$F$20,0))*Assumptions!$F$24,0)</f>
        <v>42500</v>
      </c>
      <c r="AE23" s="6" t="n">
        <f aca="false">IF(AE6=1,MAX(1,ROUNDUP(AE11/Assumptions!$F$20,0))*Assumptions!$F$24,0)</f>
        <v>51000</v>
      </c>
      <c r="AF23" s="6" t="n">
        <f aca="false">IF(AF6=1,MAX(1,ROUNDUP(AF11/Assumptions!$F$20,0))*Assumptions!$F$24,0)</f>
        <v>51000</v>
      </c>
      <c r="AG23" s="6" t="n">
        <f aca="false">IF(AG6=1,MAX(1,ROUNDUP(AG11/Assumptions!$F$20,0))*Assumptions!$F$24,0)</f>
        <v>59500</v>
      </c>
      <c r="AH23" s="6" t="n">
        <f aca="false">IF(AH6=1,MAX(1,ROUNDUP(AH11/Assumptions!$F$20,0))*Assumptions!$F$24,0)</f>
        <v>59500</v>
      </c>
      <c r="AI23" s="6" t="n">
        <f aca="false">IF(AI6=1,MAX(1,ROUNDUP(AI11/Assumptions!$F$20,0))*Assumptions!$F$24,0)</f>
        <v>68000</v>
      </c>
      <c r="AJ23" s="6" t="n">
        <f aca="false">IF(AJ6=1,MAX(1,ROUNDUP(AJ11/Assumptions!$F$20,0))*Assumptions!$F$24,0)</f>
        <v>68000</v>
      </c>
      <c r="AK23" s="6" t="n">
        <f aca="false">IF(AK6=1,MAX(1,ROUNDUP(AK11/Assumptions!$F$20,0))*Assumptions!$F$24,0)</f>
        <v>76500</v>
      </c>
      <c r="AL23" s="6" t="n">
        <f aca="false">IF(AL6=1,MAX(1,ROUNDUP(AL11/Assumptions!$F$20,0))*Assumptions!$F$24,0)</f>
        <v>85000</v>
      </c>
    </row>
    <row r="24" customFormat="false" ht="15" hidden="false" customHeight="false" outlineLevel="0" collapsed="false">
      <c r="B24" s="14" t="s">
        <v>278</v>
      </c>
      <c r="C24" s="29" t="n">
        <f aca="false">SUM(C18:C23)</f>
        <v>1180</v>
      </c>
      <c r="D24" s="29" t="n">
        <f aca="false">SUM(D18:D23)</f>
        <v>1180</v>
      </c>
      <c r="E24" s="29" t="n">
        <f aca="false">SUM(E18:E23)</f>
        <v>1180</v>
      </c>
      <c r="F24" s="29" t="n">
        <f aca="false">SUM(F18:F23)</f>
        <v>1180</v>
      </c>
      <c r="G24" s="29" t="n">
        <f aca="false">SUM(G18:G23)</f>
        <v>1180</v>
      </c>
      <c r="H24" s="29" t="n">
        <f aca="false">SUM(H18:H23)</f>
        <v>2950</v>
      </c>
      <c r="I24" s="29" t="n">
        <f aca="false">SUM(I18:I23)</f>
        <v>13229.7365</v>
      </c>
      <c r="J24" s="29" t="n">
        <f aca="false">SUM(J18:J23)</f>
        <v>15009.8097575</v>
      </c>
      <c r="K24" s="29" t="n">
        <f aca="false">SUM(K18:K23)</f>
        <v>16891.3465171625</v>
      </c>
      <c r="L24" s="29" t="n">
        <f aca="false">SUM(L18:L23)</f>
        <v>18883.4874181214</v>
      </c>
      <c r="M24" s="29" t="n">
        <f aca="false">SUM(M18:M23)</f>
        <v>20996.0787616674</v>
      </c>
      <c r="N24" s="29" t="n">
        <f aca="false">SUM(N18:N23)</f>
        <v>23239.7296039447</v>
      </c>
      <c r="O24" s="29" t="n">
        <f aca="false">SUM(O18:O23)</f>
        <v>25625.8734000706</v>
      </c>
      <c r="P24" s="29" t="n">
        <f aca="false">SUM(P18:P23)</f>
        <v>28166.8345641913</v>
      </c>
      <c r="Q24" s="29" t="n">
        <f aca="false">SUM(Q18:Q23)</f>
        <v>39375.9003391387</v>
      </c>
      <c r="R24" s="29" t="n">
        <f aca="false">SUM(R18:R23)</f>
        <v>42267.3984008367</v>
      </c>
      <c r="S24" s="29" t="n">
        <f aca="false">SUM(S18:S23)</f>
        <v>45356.7806566063</v>
      </c>
      <c r="T24" s="29" t="n">
        <f aca="false">SUM(T18:T23)</f>
        <v>48660.7137332449</v>
      </c>
      <c r="U24" s="29" t="n">
        <f aca="false">SUM(U18:U23)</f>
        <v>52197.1766904118</v>
      </c>
      <c r="V24" s="29" t="n">
        <f aca="false">SUM(V18:V23)</f>
        <v>64485.5665376895</v>
      </c>
      <c r="W24" s="29" t="n">
        <f aca="false">SUM(W18:W23)</f>
        <v>68546.8121799482</v>
      </c>
      <c r="X24" s="29" t="n">
        <f aca="false">SUM(X18:X23)</f>
        <v>72903.4974656065</v>
      </c>
      <c r="Y24" s="29" t="n">
        <f aca="false">SUM(Y18:Y23)</f>
        <v>77579.9940663359</v>
      </c>
      <c r="Z24" s="29" t="n">
        <f aca="false">SUM(Z18:Z23)</f>
        <v>91102.6049750367</v>
      </c>
      <c r="AA24" s="29" t="n">
        <f aca="false">SUM(AA18:AA23)</f>
        <v>96499.7194718487</v>
      </c>
      <c r="AB24" s="29" t="n">
        <f aca="false">SUM(AB18:AB23)</f>
        <v>102301.980475935</v>
      </c>
      <c r="AC24" s="29" t="n">
        <f aca="false">SUM(AC18:AC23)</f>
        <v>117042.465274191</v>
      </c>
      <c r="AD24" s="29" t="n">
        <f aca="false">SUM(AD18:AD23)</f>
        <v>123756.880697302</v>
      </c>
      <c r="AE24" s="29" t="n">
        <f aca="false">SUM(AE18:AE23)</f>
        <v>139483.773899232</v>
      </c>
      <c r="AF24" s="29" t="n">
        <f aca="false">SUM(AF18:AF23)</f>
        <v>147264.759988664</v>
      </c>
      <c r="AG24" s="29" t="n">
        <f aca="false">SUM(AG18:AG23)</f>
        <v>164144.767860812</v>
      </c>
      <c r="AH24" s="29" t="n">
        <f aca="false">SUM(AH18:AH23)</f>
        <v>173172.305685906</v>
      </c>
      <c r="AI24" s="29" t="n">
        <f aca="false">SUM(AI18:AI23)</f>
        <v>191399.747627102</v>
      </c>
      <c r="AJ24" s="29" t="n">
        <f aca="false">SUM(AJ18:AJ23)</f>
        <v>201883.643486435</v>
      </c>
      <c r="AK24" s="29" t="n">
        <f aca="false">SUM(AK18:AK23)</f>
        <v>221685.053113286</v>
      </c>
      <c r="AL24" s="29" t="n">
        <f aca="false">SUM(AL18:AL23)</f>
        <v>242369.907556587</v>
      </c>
    </row>
    <row r="25" customFormat="false" ht="15" hidden="false" customHeight="false" outlineLevel="0" collapsed="false">
      <c r="B25" s="14" t="s">
        <v>279</v>
      </c>
      <c r="C25" s="29" t="n">
        <f aca="false">C16-C24</f>
        <v>-1180</v>
      </c>
      <c r="D25" s="29" t="n">
        <f aca="false">D16-D24</f>
        <v>-1180</v>
      </c>
      <c r="E25" s="29" t="n">
        <f aca="false">E16-E24</f>
        <v>-1180</v>
      </c>
      <c r="F25" s="29" t="n">
        <f aca="false">F16-F24</f>
        <v>-1180</v>
      </c>
      <c r="G25" s="29" t="n">
        <f aca="false">G16-G24</f>
        <v>-1180</v>
      </c>
      <c r="H25" s="29" t="n">
        <f aca="false">H16-H24</f>
        <v>-2950</v>
      </c>
      <c r="I25" s="29" t="n">
        <f aca="false">I16-I24</f>
        <v>-1235.7365</v>
      </c>
      <c r="J25" s="29" t="n">
        <f aca="false">J16-J24</f>
        <v>6274.1102425</v>
      </c>
      <c r="K25" s="29" t="n">
        <f aca="false">K16-K24</f>
        <v>14217.4270828375</v>
      </c>
      <c r="L25" s="29" t="n">
        <f aca="false">L16-L24</f>
        <v>22633.0745698786</v>
      </c>
      <c r="M25" s="29" t="n">
        <f aca="false">M16-M24</f>
        <v>31562.9175228726</v>
      </c>
      <c r="N25" s="29" t="n">
        <f aca="false">N16-N24</f>
        <v>41052.067987421</v>
      </c>
      <c r="O25" s="29" t="n">
        <f aca="false">O16-O24</f>
        <v>51149.1475625653</v>
      </c>
      <c r="P25" s="29" t="n">
        <f aca="false">P16-P24</f>
        <v>61906.5706503175</v>
      </c>
      <c r="Q25" s="29" t="n">
        <f aca="false">Q16-Q24</f>
        <v>64880.8503030211</v>
      </c>
      <c r="R25" s="29" t="n">
        <f aca="false">R16-R24</f>
        <v>77132.928477924</v>
      </c>
      <c r="S25" s="29" t="n">
        <f aca="false">S16-S24</f>
        <v>90228.5326530527</v>
      </c>
      <c r="T25" s="29" t="n">
        <f aca="false">T16-T24</f>
        <v>104238.560914769</v>
      </c>
      <c r="U25" s="29" t="n">
        <f aca="false">U16-U24</f>
        <v>119239.497796186</v>
      </c>
      <c r="V25" s="29" t="n">
        <f aca="false">V16-V24</f>
        <v>126813.863327911</v>
      </c>
      <c r="W25" s="29" t="n">
        <f aca="false">W16-W24</f>
        <v>144050.697959473</v>
      </c>
      <c r="X25" s="29" t="n">
        <f aca="false">X16-X24</f>
        <v>162546.086222426</v>
      </c>
      <c r="Y25" s="29" t="n">
        <f aca="false">Y16-Y24</f>
        <v>182403.722235761</v>
      </c>
      <c r="Z25" s="29" t="n">
        <f aca="false">Z16-Z24</f>
        <v>195235.520402274</v>
      </c>
      <c r="AA25" s="29" t="n">
        <f aca="false">AA16-AA24</f>
        <v>218162.274912417</v>
      </c>
      <c r="AB25" s="29" t="n">
        <f aca="false">AB16-AB24</f>
        <v>242814.371961423</v>
      </c>
      <c r="AC25" s="29" t="n">
        <f aca="false">AC16-AC24</f>
        <v>260832.558897948</v>
      </c>
      <c r="AD25" s="29" t="n">
        <f aca="false">AD16-AD24</f>
        <v>289368.774859905</v>
      </c>
      <c r="AE25" s="29" t="n">
        <f aca="false">AE16-AE24</f>
        <v>311587.047817566</v>
      </c>
      <c r="AF25" s="29" t="n">
        <f aca="false">AF16-AF24</f>
        <v>344664.463337618</v>
      </c>
      <c r="AG25" s="29" t="n">
        <f aca="false">AG16-AG24</f>
        <v>371792.210806908</v>
      </c>
      <c r="AH25" s="29" t="n">
        <f aca="false">AH16-AH24</f>
        <v>410176.713313684</v>
      </c>
      <c r="AI25" s="29" t="n">
        <f aca="false">AI16-AI24</f>
        <v>443040.847879947</v>
      </c>
      <c r="AJ25" s="29" t="n">
        <f aca="false">AJ16-AJ24</f>
        <v>487625.263273981</v>
      </c>
      <c r="AK25" s="29" t="n">
        <f aca="false">AK16-AK24</f>
        <v>527189.803210448</v>
      </c>
      <c r="AL25" s="29" t="n">
        <f aca="false">AL16-AL24</f>
        <v>570515.043369968</v>
      </c>
    </row>
    <row r="26" customFormat="false" ht="15" hidden="false" customHeight="false" outlineLevel="0" collapsed="false">
      <c r="B26" s="2" t="s">
        <v>280</v>
      </c>
      <c r="C26" s="13" t="n">
        <f aca="false">IFERROR(C25/C16,0)</f>
        <v>0</v>
      </c>
      <c r="D26" s="13" t="n">
        <f aca="false">IFERROR(D25/D16,0)</f>
        <v>0</v>
      </c>
      <c r="E26" s="13" t="n">
        <f aca="false">IFERROR(E25/E16,0)</f>
        <v>0</v>
      </c>
      <c r="F26" s="13" t="n">
        <f aca="false">IFERROR(F25/F16,0)</f>
        <v>0</v>
      </c>
      <c r="G26" s="13" t="n">
        <f aca="false">IFERROR(G25/G16,0)</f>
        <v>0</v>
      </c>
      <c r="H26" s="13" t="n">
        <f aca="false">IFERROR(H25/H16,0)</f>
        <v>0</v>
      </c>
      <c r="I26" s="13" t="n">
        <f aca="false">IFERROR(I25/I16,0)</f>
        <v>-0.103029556444889</v>
      </c>
      <c r="J26" s="13" t="n">
        <f aca="false">IFERROR(J25/J16,0)</f>
        <v>0.294781705743115</v>
      </c>
      <c r="K26" s="13" t="n">
        <f aca="false">IFERROR(K25/K16,0)</f>
        <v>0.457023065764235</v>
      </c>
      <c r="L26" s="13" t="n">
        <f aca="false">IFERROR(L25/L16,0)</f>
        <v>0.545157727087818</v>
      </c>
      <c r="M26" s="13" t="n">
        <f aca="false">IFERROR(M25/M16,0)</f>
        <v>0.600523597368557</v>
      </c>
      <c r="N26" s="13" t="n">
        <f aca="false">IFERROR(N25/N16,0)</f>
        <v>0.638527300921731</v>
      </c>
      <c r="O26" s="13" t="n">
        <f aca="false">IFERROR(O25/O16,0)</f>
        <v>0.666221212592805</v>
      </c>
      <c r="P26" s="13" t="n">
        <f aca="false">IFERROR(P25/P16,0)</f>
        <v>0.687290221823941</v>
      </c>
      <c r="Q26" s="13" t="n">
        <f aca="false">IFERROR(Q25/Q16,0)</f>
        <v>0.622317978484784</v>
      </c>
      <c r="R26" s="13" t="n">
        <f aca="false">IFERROR(R25/R16,0)</f>
        <v>0.646002657565962</v>
      </c>
      <c r="S26" s="13" t="n">
        <f aca="false">IFERROR(S25/S16,0)</f>
        <v>0.665474235007907</v>
      </c>
      <c r="T26" s="13" t="n">
        <f aca="false">IFERROR(T25/T16,0)</f>
        <v>0.681746601837938</v>
      </c>
      <c r="U26" s="13" t="n">
        <f aca="false">IFERROR(U25/U16,0)</f>
        <v>0.695530860904023</v>
      </c>
      <c r="V26" s="13" t="n">
        <f aca="false">IFERROR(V25/V16,0)</f>
        <v>0.662907690927283</v>
      </c>
      <c r="W26" s="13" t="n">
        <f aca="false">IFERROR(W25/W16,0)</f>
        <v>0.677574717902409</v>
      </c>
      <c r="X26" s="13" t="n">
        <f aca="false">IFERROR(X25/X16,0)</f>
        <v>0.690364721297607</v>
      </c>
      <c r="Y26" s="13" t="n">
        <f aca="false">IFERROR(Y25/Y16,0)</f>
        <v>0.70159671855683</v>
      </c>
      <c r="Z26" s="13" t="n">
        <f aca="false">IFERROR(Z25/Z16,0)</f>
        <v>0.681835575143933</v>
      </c>
      <c r="AA26" s="13" t="n">
        <f aca="false">IFERROR(AA25/AA16,0)</f>
        <v>0.693322609040598</v>
      </c>
      <c r="AB26" s="13" t="n">
        <f aca="false">IFERROR(AB25/AB16,0)</f>
        <v>0.70357249155702</v>
      </c>
      <c r="AC26" s="13" t="n">
        <f aca="false">IFERROR(AC25/AC16,0)</f>
        <v>0.690261441515985</v>
      </c>
      <c r="AD26" s="13" t="n">
        <f aca="false">IFERROR(AD25/AD16,0)</f>
        <v>0.700437677901211</v>
      </c>
      <c r="AE26" s="13" t="n">
        <f aca="false">IFERROR(AE25/AE16,0)</f>
        <v>0.690771898372078</v>
      </c>
      <c r="AF26" s="13" t="n">
        <f aca="false">IFERROR(AF25/AF16,0)</f>
        <v>0.700638317453673</v>
      </c>
      <c r="AG26" s="13" t="n">
        <f aca="false">IFERROR(AG25/AG16,0)</f>
        <v>0.693723750376662</v>
      </c>
      <c r="AH26" s="13" t="n">
        <f aca="false">IFERROR(AH25/AH16,0)</f>
        <v>0.703141172701573</v>
      </c>
      <c r="AI26" s="13" t="n">
        <f aca="false">IFERROR(AI25/AI16,0)</f>
        <v>0.698317306643762</v>
      </c>
      <c r="AJ26" s="13" t="n">
        <f aca="false">IFERROR(AJ25/AJ16,0)</f>
        <v>0.707206619802833</v>
      </c>
      <c r="AK26" s="13" t="n">
        <f aca="false">IFERROR(AK25/AK16,0)</f>
        <v>0.703975836227764</v>
      </c>
      <c r="AL26" s="13" t="n">
        <f aca="false">IFERROR(AL25/AL16,0)</f>
        <v>0.70183983935202</v>
      </c>
    </row>
    <row r="28" customFormat="false" ht="15" hidden="false" customHeight="false" outlineLevel="0" collapsed="false">
      <c r="B28" s="2" t="s">
        <v>281</v>
      </c>
      <c r="C28" s="6" t="n">
        <f aca="false">IF(Assumptions!$F$34=1,SUMPRODUCT((Staffing!$D$5:$D$15&lt;=C4)*Staffing!$C$5:$C$15),SUMPRODUCT((Staffing!$F$5:$F$15&lt;=C4)*Staffing!$E$5:$E$15))</f>
        <v>61500</v>
      </c>
      <c r="D28" s="6" t="n">
        <f aca="false">IF(Assumptions!$F$34=1,SUMPRODUCT((Staffing!$D$5:$D$15&lt;=D4)*Staffing!$C$5:$C$15),SUMPRODUCT((Staffing!$F$5:$F$15&lt;=D4)*Staffing!$E$5:$E$15))</f>
        <v>61500</v>
      </c>
      <c r="E28" s="6" t="n">
        <f aca="false">IF(Assumptions!$F$34=1,SUMPRODUCT((Staffing!$D$5:$D$15&lt;=E4)*Staffing!$C$5:$C$15),SUMPRODUCT((Staffing!$F$5:$F$15&lt;=E4)*Staffing!$E$5:$E$15))</f>
        <v>61500</v>
      </c>
      <c r="F28" s="6" t="n">
        <f aca="false">IF(Assumptions!$F$34=1,SUMPRODUCT((Staffing!$D$5:$D$15&lt;=F4)*Staffing!$C$5:$C$15),SUMPRODUCT((Staffing!$F$5:$F$15&lt;=F4)*Staffing!$E$5:$E$15))</f>
        <v>80500</v>
      </c>
      <c r="G28" s="6" t="n">
        <f aca="false">IF(Assumptions!$F$34=1,SUMPRODUCT((Staffing!$D$5:$D$15&lt;=G4)*Staffing!$C$5:$C$15),SUMPRODUCT((Staffing!$F$5:$F$15&lt;=G4)*Staffing!$E$5:$E$15))</f>
        <v>80500</v>
      </c>
      <c r="H28" s="6" t="n">
        <f aca="false">IF(Assumptions!$F$34=1,SUMPRODUCT((Staffing!$D$5:$D$15&lt;=H4)*Staffing!$C$5:$C$15),SUMPRODUCT((Staffing!$F$5:$F$15&lt;=H4)*Staffing!$E$5:$E$15))</f>
        <v>80500</v>
      </c>
      <c r="I28" s="6" t="n">
        <f aca="false">IF(Assumptions!$F$34=1,SUMPRODUCT((Staffing!$D$5:$D$15&lt;=I4)*Staffing!$C$5:$C$15),SUMPRODUCT((Staffing!$F$5:$F$15&lt;=I4)*Staffing!$E$5:$E$15))</f>
        <v>93500</v>
      </c>
      <c r="J28" s="6" t="n">
        <f aca="false">IF(Assumptions!$F$34=1,SUMPRODUCT((Staffing!$D$5:$D$15&lt;=J4)*Staffing!$C$5:$C$15),SUMPRODUCT((Staffing!$F$5:$F$15&lt;=J4)*Staffing!$E$5:$E$15))</f>
        <v>93500</v>
      </c>
      <c r="K28" s="6" t="n">
        <f aca="false">IF(Assumptions!$F$34=1,SUMPRODUCT((Staffing!$D$5:$D$15&lt;=K4)*Staffing!$C$5:$C$15),SUMPRODUCT((Staffing!$F$5:$F$15&lt;=K4)*Staffing!$E$5:$E$15))</f>
        <v>93500</v>
      </c>
      <c r="L28" s="6" t="n">
        <f aca="false">IF(Assumptions!$F$34=1,SUMPRODUCT((Staffing!$D$5:$D$15&lt;=L4)*Staffing!$C$5:$C$15),SUMPRODUCT((Staffing!$F$5:$F$15&lt;=L4)*Staffing!$E$5:$E$15))</f>
        <v>104500</v>
      </c>
      <c r="M28" s="6" t="n">
        <f aca="false">IF(Assumptions!$F$34=1,SUMPRODUCT((Staffing!$D$5:$D$15&lt;=M4)*Staffing!$C$5:$C$15),SUMPRODUCT((Staffing!$F$5:$F$15&lt;=M4)*Staffing!$E$5:$E$15))</f>
        <v>104500</v>
      </c>
      <c r="N28" s="6" t="n">
        <f aca="false">IF(Assumptions!$F$34=1,SUMPRODUCT((Staffing!$D$5:$D$15&lt;=N4)*Staffing!$C$5:$C$15),SUMPRODUCT((Staffing!$F$5:$F$15&lt;=N4)*Staffing!$E$5:$E$15))</f>
        <v>104500</v>
      </c>
      <c r="O28" s="6" t="n">
        <f aca="false">IF(Assumptions!$F$34=1,SUMPRODUCT((Staffing!$D$5:$D$15&lt;=O4)*Staffing!$C$5:$C$15),SUMPRODUCT((Staffing!$F$5:$F$15&lt;=O4)*Staffing!$E$5:$E$15))</f>
        <v>122500</v>
      </c>
      <c r="P28" s="6" t="n">
        <f aca="false">IF(Assumptions!$F$34=1,SUMPRODUCT((Staffing!$D$5:$D$15&lt;=P4)*Staffing!$C$5:$C$15),SUMPRODUCT((Staffing!$F$5:$F$15&lt;=P4)*Staffing!$E$5:$E$15))</f>
        <v>122500</v>
      </c>
      <c r="Q28" s="6" t="n">
        <f aca="false">IF(Assumptions!$F$34=1,SUMPRODUCT((Staffing!$D$5:$D$15&lt;=Q4)*Staffing!$C$5:$C$15),SUMPRODUCT((Staffing!$F$5:$F$15&lt;=Q4)*Staffing!$E$5:$E$15))</f>
        <v>122500</v>
      </c>
      <c r="R28" s="6" t="n">
        <f aca="false">IF(Assumptions!$F$34=1,SUMPRODUCT((Staffing!$D$5:$D$15&lt;=R4)*Staffing!$C$5:$C$15),SUMPRODUCT((Staffing!$F$5:$F$15&lt;=R4)*Staffing!$E$5:$E$15))</f>
        <v>147500</v>
      </c>
      <c r="S28" s="6" t="n">
        <f aca="false">IF(Assumptions!$F$34=1,SUMPRODUCT((Staffing!$D$5:$D$15&lt;=S4)*Staffing!$C$5:$C$15),SUMPRODUCT((Staffing!$F$5:$F$15&lt;=S4)*Staffing!$E$5:$E$15))</f>
        <v>147500</v>
      </c>
      <c r="T28" s="6" t="n">
        <f aca="false">IF(Assumptions!$F$34=1,SUMPRODUCT((Staffing!$D$5:$D$15&lt;=T4)*Staffing!$C$5:$C$15),SUMPRODUCT((Staffing!$F$5:$F$15&lt;=T4)*Staffing!$E$5:$E$15))</f>
        <v>147500</v>
      </c>
      <c r="U28" s="6" t="n">
        <f aca="false">IF(Assumptions!$F$34=1,SUMPRODUCT((Staffing!$D$5:$D$15&lt;=U4)*Staffing!$C$5:$C$15),SUMPRODUCT((Staffing!$F$5:$F$15&lt;=U4)*Staffing!$E$5:$E$15))</f>
        <v>165500</v>
      </c>
      <c r="V28" s="6" t="n">
        <f aca="false">IF(Assumptions!$F$34=1,SUMPRODUCT((Staffing!$D$5:$D$15&lt;=V4)*Staffing!$C$5:$C$15),SUMPRODUCT((Staffing!$F$5:$F$15&lt;=V4)*Staffing!$E$5:$E$15))</f>
        <v>165500</v>
      </c>
      <c r="W28" s="6" t="n">
        <f aca="false">IF(Assumptions!$F$34=1,SUMPRODUCT((Staffing!$D$5:$D$15&lt;=W4)*Staffing!$C$5:$C$15),SUMPRODUCT((Staffing!$F$5:$F$15&lt;=W4)*Staffing!$E$5:$E$15))</f>
        <v>165500</v>
      </c>
      <c r="X28" s="6" t="n">
        <f aca="false">IF(Assumptions!$F$34=1,SUMPRODUCT((Staffing!$D$5:$D$15&lt;=X4)*Staffing!$C$5:$C$15),SUMPRODUCT((Staffing!$F$5:$F$15&lt;=X4)*Staffing!$E$5:$E$15))</f>
        <v>165500</v>
      </c>
      <c r="Y28" s="6" t="n">
        <f aca="false">IF(Assumptions!$F$34=1,SUMPRODUCT((Staffing!$D$5:$D$15&lt;=Y4)*Staffing!$C$5:$C$15),SUMPRODUCT((Staffing!$F$5:$F$15&lt;=Y4)*Staffing!$E$5:$E$15))</f>
        <v>165500</v>
      </c>
      <c r="Z28" s="6" t="n">
        <f aca="false">IF(Assumptions!$F$34=1,SUMPRODUCT((Staffing!$D$5:$D$15&lt;=Z4)*Staffing!$C$5:$C$15),SUMPRODUCT((Staffing!$F$5:$F$15&lt;=Z4)*Staffing!$E$5:$E$15))</f>
        <v>165500</v>
      </c>
      <c r="AA28" s="6" t="n">
        <f aca="false">IF(Assumptions!$F$34=1,SUMPRODUCT((Staffing!$D$5:$D$15&lt;=AA4)*Staffing!$C$5:$C$15),SUMPRODUCT((Staffing!$F$5:$F$15&lt;=AA4)*Staffing!$E$5:$E$15))</f>
        <v>165500</v>
      </c>
      <c r="AB28" s="6" t="n">
        <f aca="false">IF(Assumptions!$F$34=1,SUMPRODUCT((Staffing!$D$5:$D$15&lt;=AB4)*Staffing!$C$5:$C$15),SUMPRODUCT((Staffing!$F$5:$F$15&lt;=AB4)*Staffing!$E$5:$E$15))</f>
        <v>165500</v>
      </c>
      <c r="AC28" s="6" t="n">
        <f aca="false">IF(Assumptions!$F$34=1,SUMPRODUCT((Staffing!$D$5:$D$15&lt;=AC4)*Staffing!$C$5:$C$15),SUMPRODUCT((Staffing!$F$5:$F$15&lt;=AC4)*Staffing!$E$5:$E$15))</f>
        <v>165500</v>
      </c>
      <c r="AD28" s="6" t="n">
        <f aca="false">IF(Assumptions!$F$34=1,SUMPRODUCT((Staffing!$D$5:$D$15&lt;=AD4)*Staffing!$C$5:$C$15),SUMPRODUCT((Staffing!$F$5:$F$15&lt;=AD4)*Staffing!$E$5:$E$15))</f>
        <v>165500</v>
      </c>
      <c r="AE28" s="6" t="n">
        <f aca="false">IF(Assumptions!$F$34=1,SUMPRODUCT((Staffing!$D$5:$D$15&lt;=AE4)*Staffing!$C$5:$C$15),SUMPRODUCT((Staffing!$F$5:$F$15&lt;=AE4)*Staffing!$E$5:$E$15))</f>
        <v>165500</v>
      </c>
      <c r="AF28" s="6" t="n">
        <f aca="false">IF(Assumptions!$F$34=1,SUMPRODUCT((Staffing!$D$5:$D$15&lt;=AF4)*Staffing!$C$5:$C$15),SUMPRODUCT((Staffing!$F$5:$F$15&lt;=AF4)*Staffing!$E$5:$E$15))</f>
        <v>165500</v>
      </c>
      <c r="AG28" s="6" t="n">
        <f aca="false">IF(Assumptions!$F$34=1,SUMPRODUCT((Staffing!$D$5:$D$15&lt;=AG4)*Staffing!$C$5:$C$15),SUMPRODUCT((Staffing!$F$5:$F$15&lt;=AG4)*Staffing!$E$5:$E$15))</f>
        <v>165500</v>
      </c>
      <c r="AH28" s="6" t="n">
        <f aca="false">IF(Assumptions!$F$34=1,SUMPRODUCT((Staffing!$D$5:$D$15&lt;=AH4)*Staffing!$C$5:$C$15),SUMPRODUCT((Staffing!$F$5:$F$15&lt;=AH4)*Staffing!$E$5:$E$15))</f>
        <v>165500</v>
      </c>
      <c r="AI28" s="6" t="n">
        <f aca="false">IF(Assumptions!$F$34=1,SUMPRODUCT((Staffing!$D$5:$D$15&lt;=AI4)*Staffing!$C$5:$C$15),SUMPRODUCT((Staffing!$F$5:$F$15&lt;=AI4)*Staffing!$E$5:$E$15))</f>
        <v>165500</v>
      </c>
      <c r="AJ28" s="6" t="n">
        <f aca="false">IF(Assumptions!$F$34=1,SUMPRODUCT((Staffing!$D$5:$D$15&lt;=AJ4)*Staffing!$C$5:$C$15),SUMPRODUCT((Staffing!$F$5:$F$15&lt;=AJ4)*Staffing!$E$5:$E$15))</f>
        <v>165500</v>
      </c>
      <c r="AK28" s="6" t="n">
        <f aca="false">IF(Assumptions!$F$34=1,SUMPRODUCT((Staffing!$D$5:$D$15&lt;=AK4)*Staffing!$C$5:$C$15),SUMPRODUCT((Staffing!$F$5:$F$15&lt;=AK4)*Staffing!$E$5:$E$15))</f>
        <v>165500</v>
      </c>
      <c r="AL28" s="6" t="n">
        <f aca="false">IF(Assumptions!$F$34=1,SUMPRODUCT((Staffing!$D$5:$D$15&lt;=AL4)*Staffing!$C$5:$C$15),SUMPRODUCT((Staffing!$F$5:$F$15&lt;=AL4)*Staffing!$E$5:$E$15))</f>
        <v>165500</v>
      </c>
    </row>
    <row r="29" customFormat="false" ht="15" hidden="false" customHeight="false" outlineLevel="0" collapsed="false">
      <c r="B29" s="2" t="s">
        <v>282</v>
      </c>
      <c r="C29" s="6" t="n">
        <f aca="false">C9*Assumptions!$F$21+IF(C4&gt;=Assumptions!$F$7-2,Assumptions!$F$25,0)</f>
        <v>0</v>
      </c>
      <c r="D29" s="6" t="n">
        <f aca="false">D9*Assumptions!$F$21+IF(D4&gt;=Assumptions!$F$7-2,Assumptions!$F$25,0)</f>
        <v>0</v>
      </c>
      <c r="E29" s="6" t="n">
        <f aca="false">E9*Assumptions!$F$21+IF(E4&gt;=Assumptions!$F$7-2,Assumptions!$F$25,0)</f>
        <v>0</v>
      </c>
      <c r="F29" s="6" t="n">
        <f aca="false">F9*Assumptions!$F$21+IF(F4&gt;=Assumptions!$F$7-2,Assumptions!$F$25,0)</f>
        <v>0</v>
      </c>
      <c r="G29" s="6" t="n">
        <f aca="false">G9*Assumptions!$F$21+IF(G4&gt;=Assumptions!$F$7-2,Assumptions!$F$25,0)</f>
        <v>5000</v>
      </c>
      <c r="H29" s="6" t="n">
        <f aca="false">H9*Assumptions!$F$21+IF(H4&gt;=Assumptions!$F$7-2,Assumptions!$F$25,0)</f>
        <v>5000</v>
      </c>
      <c r="I29" s="6" t="n">
        <f aca="false">I9*Assumptions!$F$21+IF(I4&gt;=Assumptions!$F$7-2,Assumptions!$F$25,0)</f>
        <v>29000</v>
      </c>
      <c r="J29" s="6" t="n">
        <f aca="false">J9*Assumptions!$F$21+IF(J4&gt;=Assumptions!$F$7-2,Assumptions!$F$25,0)</f>
        <v>30920</v>
      </c>
      <c r="K29" s="6" t="n">
        <f aca="false">K9*Assumptions!$F$21+IF(K4&gt;=Assumptions!$F$7-2,Assumptions!$F$25,0)</f>
        <v>32993.6</v>
      </c>
      <c r="L29" s="6" t="n">
        <f aca="false">L9*Assumptions!$F$21+IF(L4&gt;=Assumptions!$F$7-2,Assumptions!$F$25,0)</f>
        <v>35233.088</v>
      </c>
      <c r="M29" s="6" t="n">
        <f aca="false">M9*Assumptions!$F$21+IF(M4&gt;=Assumptions!$F$7-2,Assumptions!$F$25,0)</f>
        <v>37651.73504</v>
      </c>
      <c r="N29" s="6" t="n">
        <f aca="false">N9*Assumptions!$F$21+IF(N4&gt;=Assumptions!$F$7-2,Assumptions!$F$25,0)</f>
        <v>40263.8738432</v>
      </c>
      <c r="O29" s="6" t="n">
        <f aca="false">O9*Assumptions!$F$21+IF(O4&gt;=Assumptions!$F$7-2,Assumptions!$F$25,0)</f>
        <v>43084.983750656</v>
      </c>
      <c r="P29" s="6" t="n">
        <f aca="false">P9*Assumptions!$F$21+IF(P4&gt;=Assumptions!$F$7-2,Assumptions!$F$25,0)</f>
        <v>46131.7824507085</v>
      </c>
      <c r="Q29" s="6" t="n">
        <f aca="false">Q9*Assumptions!$F$21+IF(Q4&gt;=Assumptions!$F$7-2,Assumptions!$F$25,0)</f>
        <v>49422.3250467652</v>
      </c>
      <c r="R29" s="6" t="n">
        <f aca="false">R9*Assumptions!$F$21+IF(R4&gt;=Assumptions!$F$7-2,Assumptions!$F$25,0)</f>
        <v>52976.1110505064</v>
      </c>
      <c r="S29" s="6" t="n">
        <f aca="false">S9*Assumptions!$F$21+IF(S4&gt;=Assumptions!$F$7-2,Assumptions!$F$25,0)</f>
        <v>56814.1999345469</v>
      </c>
      <c r="T29" s="6" t="n">
        <f aca="false">T9*Assumptions!$F$21+IF(T4&gt;=Assumptions!$F$7-2,Assumptions!$F$25,0)</f>
        <v>60959.3359293107</v>
      </c>
      <c r="U29" s="6" t="n">
        <f aca="false">U9*Assumptions!$F$21+IF(U4&gt;=Assumptions!$F$7-2,Assumptions!$F$25,0)</f>
        <v>65436.0828036555</v>
      </c>
      <c r="V29" s="6" t="n">
        <f aca="false">V9*Assumptions!$F$21+IF(V4&gt;=Assumptions!$F$7-2,Assumptions!$F$25,0)</f>
        <v>70270.969427948</v>
      </c>
      <c r="W29" s="6" t="n">
        <f aca="false">W9*Assumptions!$F$21+IF(W4&gt;=Assumptions!$F$7-2,Assumptions!$F$25,0)</f>
        <v>75492.6469821838</v>
      </c>
      <c r="X29" s="6" t="n">
        <f aca="false">X9*Assumptions!$F$21+IF(X4&gt;=Assumptions!$F$7-2,Assumptions!$F$25,0)</f>
        <v>81132.0587407585</v>
      </c>
      <c r="Y29" s="6" t="n">
        <f aca="false">Y9*Assumptions!$F$21+IF(Y4&gt;=Assumptions!$F$7-2,Assumptions!$F$25,0)</f>
        <v>87222.6234400192</v>
      </c>
      <c r="Z29" s="6" t="n">
        <f aca="false">Z9*Assumptions!$F$21+IF(Z4&gt;=Assumptions!$F$7-2,Assumptions!$F$25,0)</f>
        <v>93800.4333152208</v>
      </c>
      <c r="AA29" s="6" t="n">
        <f aca="false">AA9*Assumptions!$F$21+IF(AA4&gt;=Assumptions!$F$7-2,Assumptions!$F$25,0)</f>
        <v>100904.467980438</v>
      </c>
      <c r="AB29" s="6" t="n">
        <f aca="false">AB9*Assumptions!$F$21+IF(AB4&gt;=Assumptions!$F$7-2,Assumptions!$F$25,0)</f>
        <v>108576.825418874</v>
      </c>
      <c r="AC29" s="6" t="n">
        <f aca="false">AC9*Assumptions!$F$21+IF(AC4&gt;=Assumptions!$F$7-2,Assumptions!$F$25,0)</f>
        <v>116862.971452383</v>
      </c>
      <c r="AD29" s="6" t="n">
        <f aca="false">AD9*Assumptions!$F$21+IF(AD4&gt;=Assumptions!$F$7-2,Assumptions!$F$25,0)</f>
        <v>125812.009168574</v>
      </c>
      <c r="AE29" s="6" t="n">
        <f aca="false">AE9*Assumptions!$F$21+IF(AE4&gt;=Assumptions!$F$7-2,Assumptions!$F$25,0)</f>
        <v>135476.96990206</v>
      </c>
      <c r="AF29" s="6" t="n">
        <f aca="false">AF9*Assumptions!$F$21+IF(AF4&gt;=Assumptions!$F$7-2,Assumptions!$F$25,0)</f>
        <v>145915.127494225</v>
      </c>
      <c r="AG29" s="6" t="n">
        <f aca="false">AG9*Assumptions!$F$21+IF(AG4&gt;=Assumptions!$F$7-2,Assumptions!$F$25,0)</f>
        <v>157188.337693763</v>
      </c>
      <c r="AH29" s="6" t="n">
        <f aca="false">AH9*Assumptions!$F$21+IF(AH4&gt;=Assumptions!$F$7-2,Assumptions!$F$25,0)</f>
        <v>169363.404709264</v>
      </c>
      <c r="AI29" s="6" t="n">
        <f aca="false">AI9*Assumptions!$F$21+IF(AI4&gt;=Assumptions!$F$7-2,Assumptions!$F$25,0)</f>
        <v>182512.477086005</v>
      </c>
      <c r="AJ29" s="6" t="n">
        <f aca="false">AJ9*Assumptions!$F$21+IF(AJ4&gt;=Assumptions!$F$7-2,Assumptions!$F$25,0)</f>
        <v>196713.475252885</v>
      </c>
      <c r="AK29" s="6" t="n">
        <f aca="false">AK9*Assumptions!$F$21+IF(AK4&gt;=Assumptions!$F$7-2,Assumptions!$F$25,0)</f>
        <v>212050.553273116</v>
      </c>
      <c r="AL29" s="6" t="n">
        <f aca="false">AL9*Assumptions!$F$21+IF(AL4&gt;=Assumptions!$F$7-2,Assumptions!$F$25,0)</f>
        <v>228614.597534966</v>
      </c>
    </row>
    <row r="30" customFormat="false" ht="15" hidden="false" customHeight="false" outlineLevel="0" collapsed="false">
      <c r="B30" s="2" t="s">
        <v>283</v>
      </c>
      <c r="C30" s="6" t="n">
        <f aca="false">Infrastructure!$C$28</f>
        <v>3800</v>
      </c>
      <c r="D30" s="6" t="n">
        <f aca="false">Infrastructure!$C$28</f>
        <v>3800</v>
      </c>
      <c r="E30" s="6" t="n">
        <f aca="false">Infrastructure!$C$28</f>
        <v>3800</v>
      </c>
      <c r="F30" s="6" t="n">
        <f aca="false">Infrastructure!$C$28</f>
        <v>3800</v>
      </c>
      <c r="G30" s="6" t="n">
        <f aca="false">Infrastructure!$C$28</f>
        <v>3800</v>
      </c>
      <c r="H30" s="6" t="n">
        <f aca="false">Infrastructure!$C$28</f>
        <v>3800</v>
      </c>
      <c r="I30" s="6" t="n">
        <f aca="false">Infrastructure!$C$28</f>
        <v>3800</v>
      </c>
      <c r="J30" s="6" t="n">
        <f aca="false">Infrastructure!$C$28</f>
        <v>3800</v>
      </c>
      <c r="K30" s="6" t="n">
        <f aca="false">Infrastructure!$C$28</f>
        <v>3800</v>
      </c>
      <c r="L30" s="6" t="n">
        <f aca="false">Infrastructure!$C$28</f>
        <v>3800</v>
      </c>
      <c r="M30" s="6" t="n">
        <f aca="false">Infrastructure!$C$28</f>
        <v>3800</v>
      </c>
      <c r="N30" s="6" t="n">
        <f aca="false">Infrastructure!$C$28</f>
        <v>3800</v>
      </c>
      <c r="O30" s="6" t="n">
        <f aca="false">Infrastructure!$C$28</f>
        <v>3800</v>
      </c>
      <c r="P30" s="6" t="n">
        <f aca="false">Infrastructure!$C$28</f>
        <v>3800</v>
      </c>
      <c r="Q30" s="6" t="n">
        <f aca="false">Infrastructure!$C$28</f>
        <v>3800</v>
      </c>
      <c r="R30" s="6" t="n">
        <f aca="false">Infrastructure!$C$28</f>
        <v>3800</v>
      </c>
      <c r="S30" s="6" t="n">
        <f aca="false">Infrastructure!$C$28</f>
        <v>3800</v>
      </c>
      <c r="T30" s="6" t="n">
        <f aca="false">Infrastructure!$C$28</f>
        <v>3800</v>
      </c>
      <c r="U30" s="6" t="n">
        <f aca="false">Infrastructure!$C$28</f>
        <v>3800</v>
      </c>
      <c r="V30" s="6" t="n">
        <f aca="false">Infrastructure!$C$28</f>
        <v>3800</v>
      </c>
      <c r="W30" s="6" t="n">
        <f aca="false">Infrastructure!$C$28</f>
        <v>3800</v>
      </c>
      <c r="X30" s="6" t="n">
        <f aca="false">Infrastructure!$C$28</f>
        <v>3800</v>
      </c>
      <c r="Y30" s="6" t="n">
        <f aca="false">Infrastructure!$C$28</f>
        <v>3800</v>
      </c>
      <c r="Z30" s="6" t="n">
        <f aca="false">Infrastructure!$C$28</f>
        <v>3800</v>
      </c>
      <c r="AA30" s="6" t="n">
        <f aca="false">Infrastructure!$C$28</f>
        <v>3800</v>
      </c>
      <c r="AB30" s="6" t="n">
        <f aca="false">Infrastructure!$C$28</f>
        <v>3800</v>
      </c>
      <c r="AC30" s="6" t="n">
        <f aca="false">Infrastructure!$C$28</f>
        <v>3800</v>
      </c>
      <c r="AD30" s="6" t="n">
        <f aca="false">Infrastructure!$C$28</f>
        <v>3800</v>
      </c>
      <c r="AE30" s="6" t="n">
        <f aca="false">Infrastructure!$C$28</f>
        <v>3800</v>
      </c>
      <c r="AF30" s="6" t="n">
        <f aca="false">Infrastructure!$C$28</f>
        <v>3800</v>
      </c>
      <c r="AG30" s="6" t="n">
        <f aca="false">Infrastructure!$C$28</f>
        <v>3800</v>
      </c>
      <c r="AH30" s="6" t="n">
        <f aca="false">Infrastructure!$C$28</f>
        <v>3800</v>
      </c>
      <c r="AI30" s="6" t="n">
        <f aca="false">Infrastructure!$C$28</f>
        <v>3800</v>
      </c>
      <c r="AJ30" s="6" t="n">
        <f aca="false">Infrastructure!$C$28</f>
        <v>3800</v>
      </c>
      <c r="AK30" s="6" t="n">
        <f aca="false">Infrastructure!$C$28</f>
        <v>3800</v>
      </c>
      <c r="AL30" s="6" t="n">
        <f aca="false">Infrastructure!$C$28</f>
        <v>3800</v>
      </c>
    </row>
    <row r="31" customFormat="false" ht="15" hidden="false" customHeight="false" outlineLevel="0" collapsed="false">
      <c r="B31" s="2" t="s">
        <v>284</v>
      </c>
      <c r="C31" s="6" t="n">
        <f aca="false">Assumptions!$F$30</f>
        <v>2500</v>
      </c>
      <c r="D31" s="6" t="n">
        <f aca="false">Assumptions!$F$30</f>
        <v>2500</v>
      </c>
      <c r="E31" s="6" t="n">
        <f aca="false">Assumptions!$F$30</f>
        <v>2500</v>
      </c>
      <c r="F31" s="6" t="n">
        <f aca="false">Assumptions!$F$30</f>
        <v>2500</v>
      </c>
      <c r="G31" s="6" t="n">
        <f aca="false">Assumptions!$F$30</f>
        <v>2500</v>
      </c>
      <c r="H31" s="6" t="n">
        <f aca="false">Assumptions!$F$30</f>
        <v>2500</v>
      </c>
      <c r="I31" s="6" t="n">
        <f aca="false">Assumptions!$F$30</f>
        <v>2500</v>
      </c>
      <c r="J31" s="6" t="n">
        <f aca="false">Assumptions!$F$30</f>
        <v>2500</v>
      </c>
      <c r="K31" s="6" t="n">
        <f aca="false">Assumptions!$F$30</f>
        <v>2500</v>
      </c>
      <c r="L31" s="6" t="n">
        <f aca="false">Assumptions!$F$30</f>
        <v>2500</v>
      </c>
      <c r="M31" s="6" t="n">
        <f aca="false">Assumptions!$F$30</f>
        <v>2500</v>
      </c>
      <c r="N31" s="6" t="n">
        <f aca="false">Assumptions!$F$30</f>
        <v>2500</v>
      </c>
      <c r="O31" s="6" t="n">
        <f aca="false">Assumptions!$F$30</f>
        <v>2500</v>
      </c>
      <c r="P31" s="6" t="n">
        <f aca="false">Assumptions!$F$30</f>
        <v>2500</v>
      </c>
      <c r="Q31" s="6" t="n">
        <f aca="false">Assumptions!$F$30</f>
        <v>2500</v>
      </c>
      <c r="R31" s="6" t="n">
        <f aca="false">Assumptions!$F$30</f>
        <v>2500</v>
      </c>
      <c r="S31" s="6" t="n">
        <f aca="false">Assumptions!$F$30</f>
        <v>2500</v>
      </c>
      <c r="T31" s="6" t="n">
        <f aca="false">Assumptions!$F$30</f>
        <v>2500</v>
      </c>
      <c r="U31" s="6" t="n">
        <f aca="false">Assumptions!$F$30</f>
        <v>2500</v>
      </c>
      <c r="V31" s="6" t="n">
        <f aca="false">Assumptions!$F$30</f>
        <v>2500</v>
      </c>
      <c r="W31" s="6" t="n">
        <f aca="false">Assumptions!$F$30</f>
        <v>2500</v>
      </c>
      <c r="X31" s="6" t="n">
        <f aca="false">Assumptions!$F$30</f>
        <v>2500</v>
      </c>
      <c r="Y31" s="6" t="n">
        <f aca="false">Assumptions!$F$30</f>
        <v>2500</v>
      </c>
      <c r="Z31" s="6" t="n">
        <f aca="false">Assumptions!$F$30</f>
        <v>2500</v>
      </c>
      <c r="AA31" s="6" t="n">
        <f aca="false">Assumptions!$F$30</f>
        <v>2500</v>
      </c>
      <c r="AB31" s="6" t="n">
        <f aca="false">Assumptions!$F$30</f>
        <v>2500</v>
      </c>
      <c r="AC31" s="6" t="n">
        <f aca="false">Assumptions!$F$30</f>
        <v>2500</v>
      </c>
      <c r="AD31" s="6" t="n">
        <f aca="false">Assumptions!$F$30</f>
        <v>2500</v>
      </c>
      <c r="AE31" s="6" t="n">
        <f aca="false">Assumptions!$F$30</f>
        <v>2500</v>
      </c>
      <c r="AF31" s="6" t="n">
        <f aca="false">Assumptions!$F$30</f>
        <v>2500</v>
      </c>
      <c r="AG31" s="6" t="n">
        <f aca="false">Assumptions!$F$30</f>
        <v>2500</v>
      </c>
      <c r="AH31" s="6" t="n">
        <f aca="false">Assumptions!$F$30</f>
        <v>2500</v>
      </c>
      <c r="AI31" s="6" t="n">
        <f aca="false">Assumptions!$F$30</f>
        <v>2500</v>
      </c>
      <c r="AJ31" s="6" t="n">
        <f aca="false">Assumptions!$F$30</f>
        <v>2500</v>
      </c>
      <c r="AK31" s="6" t="n">
        <f aca="false">Assumptions!$F$30</f>
        <v>2500</v>
      </c>
      <c r="AL31" s="6" t="n">
        <f aca="false">Assumptions!$F$30</f>
        <v>2500</v>
      </c>
    </row>
    <row r="32" customFormat="false" ht="15" hidden="false" customHeight="false" outlineLevel="0" collapsed="false">
      <c r="B32" s="2" t="s">
        <v>285</v>
      </c>
      <c r="C32" s="6" t="n">
        <f aca="false">Assumptions!$F$31</f>
        <v>4500</v>
      </c>
      <c r="D32" s="6" t="n">
        <f aca="false">Assumptions!$F$31</f>
        <v>4500</v>
      </c>
      <c r="E32" s="6" t="n">
        <f aca="false">Assumptions!$F$31</f>
        <v>4500</v>
      </c>
      <c r="F32" s="6" t="n">
        <f aca="false">Assumptions!$F$31</f>
        <v>4500</v>
      </c>
      <c r="G32" s="6" t="n">
        <f aca="false">Assumptions!$F$31</f>
        <v>4500</v>
      </c>
      <c r="H32" s="6" t="n">
        <f aca="false">Assumptions!$F$31</f>
        <v>4500</v>
      </c>
      <c r="I32" s="6" t="n">
        <f aca="false">Assumptions!$F$31</f>
        <v>4500</v>
      </c>
      <c r="J32" s="6" t="n">
        <f aca="false">Assumptions!$F$31</f>
        <v>4500</v>
      </c>
      <c r="K32" s="6" t="n">
        <f aca="false">Assumptions!$F$31</f>
        <v>4500</v>
      </c>
      <c r="L32" s="6" t="n">
        <f aca="false">Assumptions!$F$31</f>
        <v>4500</v>
      </c>
      <c r="M32" s="6" t="n">
        <f aca="false">Assumptions!$F$31</f>
        <v>4500</v>
      </c>
      <c r="N32" s="6" t="n">
        <f aca="false">Assumptions!$F$31</f>
        <v>4500</v>
      </c>
      <c r="O32" s="6" t="n">
        <f aca="false">Assumptions!$F$31</f>
        <v>4500</v>
      </c>
      <c r="P32" s="6" t="n">
        <f aca="false">Assumptions!$F$31</f>
        <v>4500</v>
      </c>
      <c r="Q32" s="6" t="n">
        <f aca="false">Assumptions!$F$31</f>
        <v>4500</v>
      </c>
      <c r="R32" s="6" t="n">
        <f aca="false">Assumptions!$F$31</f>
        <v>4500</v>
      </c>
      <c r="S32" s="6" t="n">
        <f aca="false">Assumptions!$F$31</f>
        <v>4500</v>
      </c>
      <c r="T32" s="6" t="n">
        <f aca="false">Assumptions!$F$31</f>
        <v>4500</v>
      </c>
      <c r="U32" s="6" t="n">
        <f aca="false">Assumptions!$F$31</f>
        <v>4500</v>
      </c>
      <c r="V32" s="6" t="n">
        <f aca="false">Assumptions!$F$31</f>
        <v>4500</v>
      </c>
      <c r="W32" s="6" t="n">
        <f aca="false">Assumptions!$F$31</f>
        <v>4500</v>
      </c>
      <c r="X32" s="6" t="n">
        <f aca="false">Assumptions!$F$31</f>
        <v>4500</v>
      </c>
      <c r="Y32" s="6" t="n">
        <f aca="false">Assumptions!$F$31</f>
        <v>4500</v>
      </c>
      <c r="Z32" s="6" t="n">
        <f aca="false">Assumptions!$F$31</f>
        <v>4500</v>
      </c>
      <c r="AA32" s="6" t="n">
        <f aca="false">Assumptions!$F$31</f>
        <v>4500</v>
      </c>
      <c r="AB32" s="6" t="n">
        <f aca="false">Assumptions!$F$31</f>
        <v>4500</v>
      </c>
      <c r="AC32" s="6" t="n">
        <f aca="false">Assumptions!$F$31</f>
        <v>4500</v>
      </c>
      <c r="AD32" s="6" t="n">
        <f aca="false">Assumptions!$F$31</f>
        <v>4500</v>
      </c>
      <c r="AE32" s="6" t="n">
        <f aca="false">Assumptions!$F$31</f>
        <v>4500</v>
      </c>
      <c r="AF32" s="6" t="n">
        <f aca="false">Assumptions!$F$31</f>
        <v>4500</v>
      </c>
      <c r="AG32" s="6" t="n">
        <f aca="false">Assumptions!$F$31</f>
        <v>4500</v>
      </c>
      <c r="AH32" s="6" t="n">
        <f aca="false">Assumptions!$F$31</f>
        <v>4500</v>
      </c>
      <c r="AI32" s="6" t="n">
        <f aca="false">Assumptions!$F$31</f>
        <v>4500</v>
      </c>
      <c r="AJ32" s="6" t="n">
        <f aca="false">Assumptions!$F$31</f>
        <v>4500</v>
      </c>
      <c r="AK32" s="6" t="n">
        <f aca="false">Assumptions!$F$31</f>
        <v>4500</v>
      </c>
      <c r="AL32" s="6" t="n">
        <f aca="false">Assumptions!$F$31</f>
        <v>4500</v>
      </c>
    </row>
    <row r="33" customFormat="false" ht="15" hidden="false" customHeight="false" outlineLevel="0" collapsed="false">
      <c r="B33" s="2" t="s">
        <v>286</v>
      </c>
      <c r="C33" s="6" t="n">
        <f aca="false">IF(C4&gt;=Assumptions!$F$33,Assumptions!$F$32,0)</f>
        <v>0</v>
      </c>
      <c r="D33" s="6" t="n">
        <f aca="false">IF(D4&gt;=Assumptions!$F$33,Assumptions!$F$32,0)</f>
        <v>0</v>
      </c>
      <c r="E33" s="6" t="n">
        <f aca="false">IF(E4&gt;=Assumptions!$F$33,Assumptions!$F$32,0)</f>
        <v>0</v>
      </c>
      <c r="F33" s="6" t="n">
        <f aca="false">IF(F4&gt;=Assumptions!$F$33,Assumptions!$F$32,0)</f>
        <v>0</v>
      </c>
      <c r="G33" s="6" t="n">
        <f aca="false">IF(G4&gt;=Assumptions!$F$33,Assumptions!$F$32,0)</f>
        <v>0</v>
      </c>
      <c r="H33" s="6" t="n">
        <f aca="false">IF(H4&gt;=Assumptions!$F$33,Assumptions!$F$32,0)</f>
        <v>0</v>
      </c>
      <c r="I33" s="6" t="n">
        <f aca="false">IF(I4&gt;=Assumptions!$F$33,Assumptions!$F$32,0)</f>
        <v>0</v>
      </c>
      <c r="J33" s="6" t="n">
        <f aca="false">IF(J4&gt;=Assumptions!$F$33,Assumptions!$F$32,0)</f>
        <v>0</v>
      </c>
      <c r="K33" s="6" t="n">
        <f aca="false">IF(K4&gt;=Assumptions!$F$33,Assumptions!$F$32,0)</f>
        <v>0</v>
      </c>
      <c r="L33" s="6" t="n">
        <f aca="false">IF(L4&gt;=Assumptions!$F$33,Assumptions!$F$32,0)</f>
        <v>0</v>
      </c>
      <c r="M33" s="6" t="n">
        <f aca="false">IF(M4&gt;=Assumptions!$F$33,Assumptions!$F$32,0)</f>
        <v>0</v>
      </c>
      <c r="N33" s="6" t="n">
        <f aca="false">IF(N4&gt;=Assumptions!$F$33,Assumptions!$F$32,0)</f>
        <v>0</v>
      </c>
      <c r="O33" s="6" t="n">
        <f aca="false">IF(O4&gt;=Assumptions!$F$33,Assumptions!$F$32,0)</f>
        <v>5000</v>
      </c>
      <c r="P33" s="6" t="n">
        <f aca="false">IF(P4&gt;=Assumptions!$F$33,Assumptions!$F$32,0)</f>
        <v>5000</v>
      </c>
      <c r="Q33" s="6" t="n">
        <f aca="false">IF(Q4&gt;=Assumptions!$F$33,Assumptions!$F$32,0)</f>
        <v>5000</v>
      </c>
      <c r="R33" s="6" t="n">
        <f aca="false">IF(R4&gt;=Assumptions!$F$33,Assumptions!$F$32,0)</f>
        <v>5000</v>
      </c>
      <c r="S33" s="6" t="n">
        <f aca="false">IF(S4&gt;=Assumptions!$F$33,Assumptions!$F$32,0)</f>
        <v>5000</v>
      </c>
      <c r="T33" s="6" t="n">
        <f aca="false">IF(T4&gt;=Assumptions!$F$33,Assumptions!$F$32,0)</f>
        <v>5000</v>
      </c>
      <c r="U33" s="6" t="n">
        <f aca="false">IF(U4&gt;=Assumptions!$F$33,Assumptions!$F$32,0)</f>
        <v>5000</v>
      </c>
      <c r="V33" s="6" t="n">
        <f aca="false">IF(V4&gt;=Assumptions!$F$33,Assumptions!$F$32,0)</f>
        <v>5000</v>
      </c>
      <c r="W33" s="6" t="n">
        <f aca="false">IF(W4&gt;=Assumptions!$F$33,Assumptions!$F$32,0)</f>
        <v>5000</v>
      </c>
      <c r="X33" s="6" t="n">
        <f aca="false">IF(X4&gt;=Assumptions!$F$33,Assumptions!$F$32,0)</f>
        <v>5000</v>
      </c>
      <c r="Y33" s="6" t="n">
        <f aca="false">IF(Y4&gt;=Assumptions!$F$33,Assumptions!$F$32,0)</f>
        <v>5000</v>
      </c>
      <c r="Z33" s="6" t="n">
        <f aca="false">IF(Z4&gt;=Assumptions!$F$33,Assumptions!$F$32,0)</f>
        <v>5000</v>
      </c>
      <c r="AA33" s="6" t="n">
        <f aca="false">IF(AA4&gt;=Assumptions!$F$33,Assumptions!$F$32,0)</f>
        <v>5000</v>
      </c>
      <c r="AB33" s="6" t="n">
        <f aca="false">IF(AB4&gt;=Assumptions!$F$33,Assumptions!$F$32,0)</f>
        <v>5000</v>
      </c>
      <c r="AC33" s="6" t="n">
        <f aca="false">IF(AC4&gt;=Assumptions!$F$33,Assumptions!$F$32,0)</f>
        <v>5000</v>
      </c>
      <c r="AD33" s="6" t="n">
        <f aca="false">IF(AD4&gt;=Assumptions!$F$33,Assumptions!$F$32,0)</f>
        <v>5000</v>
      </c>
      <c r="AE33" s="6" t="n">
        <f aca="false">IF(AE4&gt;=Assumptions!$F$33,Assumptions!$F$32,0)</f>
        <v>5000</v>
      </c>
      <c r="AF33" s="6" t="n">
        <f aca="false">IF(AF4&gt;=Assumptions!$F$33,Assumptions!$F$32,0)</f>
        <v>5000</v>
      </c>
      <c r="AG33" s="6" t="n">
        <f aca="false">IF(AG4&gt;=Assumptions!$F$33,Assumptions!$F$32,0)</f>
        <v>5000</v>
      </c>
      <c r="AH33" s="6" t="n">
        <f aca="false">IF(AH4&gt;=Assumptions!$F$33,Assumptions!$F$32,0)</f>
        <v>5000</v>
      </c>
      <c r="AI33" s="6" t="n">
        <f aca="false">IF(AI4&gt;=Assumptions!$F$33,Assumptions!$F$32,0)</f>
        <v>5000</v>
      </c>
      <c r="AJ33" s="6" t="n">
        <f aca="false">IF(AJ4&gt;=Assumptions!$F$33,Assumptions!$F$32,0)</f>
        <v>5000</v>
      </c>
      <c r="AK33" s="6" t="n">
        <f aca="false">IF(AK4&gt;=Assumptions!$F$33,Assumptions!$F$32,0)</f>
        <v>5000</v>
      </c>
      <c r="AL33" s="6" t="n">
        <f aca="false">IF(AL4&gt;=Assumptions!$F$33,Assumptions!$F$32,0)</f>
        <v>5000</v>
      </c>
    </row>
    <row r="34" customFormat="false" ht="15" hidden="false" customHeight="false" outlineLevel="0" collapsed="false">
      <c r="B34" s="2" t="s">
        <v>287</v>
      </c>
      <c r="C34" s="6" t="n">
        <f aca="false">Assumptions!$F$35</f>
        <v>3000</v>
      </c>
      <c r="D34" s="6" t="n">
        <f aca="false">Assumptions!$F$35</f>
        <v>3000</v>
      </c>
      <c r="E34" s="6" t="n">
        <f aca="false">Assumptions!$F$35</f>
        <v>3000</v>
      </c>
      <c r="F34" s="6" t="n">
        <f aca="false">Assumptions!$F$35</f>
        <v>3000</v>
      </c>
      <c r="G34" s="6" t="n">
        <f aca="false">Assumptions!$F$35</f>
        <v>3000</v>
      </c>
      <c r="H34" s="6" t="n">
        <f aca="false">Assumptions!$F$35</f>
        <v>3000</v>
      </c>
      <c r="I34" s="6" t="n">
        <f aca="false">Assumptions!$F$35</f>
        <v>3000</v>
      </c>
      <c r="J34" s="6" t="n">
        <f aca="false">Assumptions!$F$35</f>
        <v>3000</v>
      </c>
      <c r="K34" s="6" t="n">
        <f aca="false">Assumptions!$F$35</f>
        <v>3000</v>
      </c>
      <c r="L34" s="6" t="n">
        <f aca="false">Assumptions!$F$35</f>
        <v>3000</v>
      </c>
      <c r="M34" s="6" t="n">
        <f aca="false">Assumptions!$F$35</f>
        <v>3000</v>
      </c>
      <c r="N34" s="6" t="n">
        <f aca="false">Assumptions!$F$35</f>
        <v>3000</v>
      </c>
      <c r="O34" s="6" t="n">
        <f aca="false">Assumptions!$F$35</f>
        <v>3000</v>
      </c>
      <c r="P34" s="6" t="n">
        <f aca="false">Assumptions!$F$35</f>
        <v>3000</v>
      </c>
      <c r="Q34" s="6" t="n">
        <f aca="false">Assumptions!$F$35</f>
        <v>3000</v>
      </c>
      <c r="R34" s="6" t="n">
        <f aca="false">Assumptions!$F$35</f>
        <v>3000</v>
      </c>
      <c r="S34" s="6" t="n">
        <f aca="false">Assumptions!$F$35</f>
        <v>3000</v>
      </c>
      <c r="T34" s="6" t="n">
        <f aca="false">Assumptions!$F$35</f>
        <v>3000</v>
      </c>
      <c r="U34" s="6" t="n">
        <f aca="false">Assumptions!$F$35</f>
        <v>3000</v>
      </c>
      <c r="V34" s="6" t="n">
        <f aca="false">Assumptions!$F$35</f>
        <v>3000</v>
      </c>
      <c r="W34" s="6" t="n">
        <f aca="false">Assumptions!$F$35</f>
        <v>3000</v>
      </c>
      <c r="X34" s="6" t="n">
        <f aca="false">Assumptions!$F$35</f>
        <v>3000</v>
      </c>
      <c r="Y34" s="6" t="n">
        <f aca="false">Assumptions!$F$35</f>
        <v>3000</v>
      </c>
      <c r="Z34" s="6" t="n">
        <f aca="false">Assumptions!$F$35</f>
        <v>3000</v>
      </c>
      <c r="AA34" s="6" t="n">
        <f aca="false">Assumptions!$F$35</f>
        <v>3000</v>
      </c>
      <c r="AB34" s="6" t="n">
        <f aca="false">Assumptions!$F$35</f>
        <v>3000</v>
      </c>
      <c r="AC34" s="6" t="n">
        <f aca="false">Assumptions!$F$35</f>
        <v>3000</v>
      </c>
      <c r="AD34" s="6" t="n">
        <f aca="false">Assumptions!$F$35</f>
        <v>3000</v>
      </c>
      <c r="AE34" s="6" t="n">
        <f aca="false">Assumptions!$F$35</f>
        <v>3000</v>
      </c>
      <c r="AF34" s="6" t="n">
        <f aca="false">Assumptions!$F$35</f>
        <v>3000</v>
      </c>
      <c r="AG34" s="6" t="n">
        <f aca="false">Assumptions!$F$35</f>
        <v>3000</v>
      </c>
      <c r="AH34" s="6" t="n">
        <f aca="false">Assumptions!$F$35</f>
        <v>3000</v>
      </c>
      <c r="AI34" s="6" t="n">
        <f aca="false">Assumptions!$F$35</f>
        <v>3000</v>
      </c>
      <c r="AJ34" s="6" t="n">
        <f aca="false">Assumptions!$F$35</f>
        <v>3000</v>
      </c>
      <c r="AK34" s="6" t="n">
        <f aca="false">Assumptions!$F$35</f>
        <v>3000</v>
      </c>
      <c r="AL34" s="6" t="n">
        <f aca="false">Assumptions!$F$35</f>
        <v>3000</v>
      </c>
    </row>
    <row r="35" customFormat="false" ht="15" hidden="false" customHeight="false" outlineLevel="0" collapsed="false">
      <c r="B35" s="2" t="s">
        <v>241</v>
      </c>
      <c r="C35" s="6" t="n">
        <f aca="false">SUMIF(Setup!$D$5:$D$17,C4,Setup!$C$5:$C$17)</f>
        <v>73600</v>
      </c>
      <c r="D35" s="6" t="n">
        <f aca="false">SUMIF(Setup!$D$5:$D$17,D4,Setup!$C$5:$C$17)</f>
        <v>40000</v>
      </c>
      <c r="E35" s="6" t="n">
        <f aca="false">SUMIF(Setup!$D$5:$D$17,E4,Setup!$C$5:$C$17)</f>
        <v>15000</v>
      </c>
      <c r="F35" s="6" t="n">
        <f aca="false">SUMIF(Setup!$D$5:$D$17,F4,Setup!$C$5:$C$17)</f>
        <v>30000</v>
      </c>
      <c r="G35" s="6" t="n">
        <f aca="false">SUMIF(Setup!$D$5:$D$17,G4,Setup!$C$5:$C$17)</f>
        <v>0</v>
      </c>
      <c r="H35" s="6" t="n">
        <f aca="false">SUMIF(Setup!$D$5:$D$17,H4,Setup!$C$5:$C$17)</f>
        <v>53000</v>
      </c>
      <c r="I35" s="6" t="n">
        <f aca="false">SUMIF(Setup!$D$5:$D$17,I4,Setup!$C$5:$C$17)</f>
        <v>0</v>
      </c>
      <c r="J35" s="6" t="n">
        <f aca="false">SUMIF(Setup!$D$5:$D$17,J4,Setup!$C$5:$C$17)</f>
        <v>0</v>
      </c>
      <c r="K35" s="6" t="n">
        <f aca="false">SUMIF(Setup!$D$5:$D$17,K4,Setup!$C$5:$C$17)</f>
        <v>0</v>
      </c>
      <c r="L35" s="6" t="n">
        <f aca="false">SUMIF(Setup!$D$5:$D$17,L4,Setup!$C$5:$C$17)</f>
        <v>0</v>
      </c>
      <c r="M35" s="6" t="n">
        <f aca="false">SUMIF(Setup!$D$5:$D$17,M4,Setup!$C$5:$C$17)</f>
        <v>0</v>
      </c>
      <c r="N35" s="6" t="n">
        <f aca="false">SUMIF(Setup!$D$5:$D$17,N4,Setup!$C$5:$C$17)</f>
        <v>0</v>
      </c>
      <c r="O35" s="6" t="n">
        <f aca="false">SUMIF(Setup!$D$5:$D$17,O4,Setup!$C$5:$C$17)</f>
        <v>0</v>
      </c>
      <c r="P35" s="6" t="n">
        <f aca="false">SUMIF(Setup!$D$5:$D$17,P4,Setup!$C$5:$C$17)</f>
        <v>0</v>
      </c>
      <c r="Q35" s="6" t="n">
        <f aca="false">SUMIF(Setup!$D$5:$D$17,Q4,Setup!$C$5:$C$17)</f>
        <v>0</v>
      </c>
      <c r="R35" s="6" t="n">
        <f aca="false">SUMIF(Setup!$D$5:$D$17,R4,Setup!$C$5:$C$17)</f>
        <v>0</v>
      </c>
      <c r="S35" s="6" t="n">
        <f aca="false">SUMIF(Setup!$D$5:$D$17,S4,Setup!$C$5:$C$17)</f>
        <v>0</v>
      </c>
      <c r="T35" s="6" t="n">
        <f aca="false">SUMIF(Setup!$D$5:$D$17,T4,Setup!$C$5:$C$17)</f>
        <v>0</v>
      </c>
      <c r="U35" s="6" t="n">
        <f aca="false">SUMIF(Setup!$D$5:$D$17,U4,Setup!$C$5:$C$17)</f>
        <v>0</v>
      </c>
      <c r="V35" s="6" t="n">
        <f aca="false">SUMIF(Setup!$D$5:$D$17,V4,Setup!$C$5:$C$17)</f>
        <v>0</v>
      </c>
      <c r="W35" s="6" t="n">
        <f aca="false">SUMIF(Setup!$D$5:$D$17,W4,Setup!$C$5:$C$17)</f>
        <v>0</v>
      </c>
      <c r="X35" s="6" t="n">
        <f aca="false">SUMIF(Setup!$D$5:$D$17,X4,Setup!$C$5:$C$17)</f>
        <v>0</v>
      </c>
      <c r="Y35" s="6" t="n">
        <f aca="false">SUMIF(Setup!$D$5:$D$17,Y4,Setup!$C$5:$C$17)</f>
        <v>0</v>
      </c>
      <c r="Z35" s="6" t="n">
        <f aca="false">SUMIF(Setup!$D$5:$D$17,Z4,Setup!$C$5:$C$17)</f>
        <v>0</v>
      </c>
      <c r="AA35" s="6" t="n">
        <f aca="false">SUMIF(Setup!$D$5:$D$17,AA4,Setup!$C$5:$C$17)</f>
        <v>0</v>
      </c>
      <c r="AB35" s="6" t="n">
        <f aca="false">SUMIF(Setup!$D$5:$D$17,AB4,Setup!$C$5:$C$17)</f>
        <v>0</v>
      </c>
      <c r="AC35" s="6" t="n">
        <f aca="false">SUMIF(Setup!$D$5:$D$17,AC4,Setup!$C$5:$C$17)</f>
        <v>0</v>
      </c>
      <c r="AD35" s="6" t="n">
        <f aca="false">SUMIF(Setup!$D$5:$D$17,AD4,Setup!$C$5:$C$17)</f>
        <v>0</v>
      </c>
      <c r="AE35" s="6" t="n">
        <f aca="false">SUMIF(Setup!$D$5:$D$17,AE4,Setup!$C$5:$C$17)</f>
        <v>0</v>
      </c>
      <c r="AF35" s="6" t="n">
        <f aca="false">SUMIF(Setup!$D$5:$D$17,AF4,Setup!$C$5:$C$17)</f>
        <v>0</v>
      </c>
      <c r="AG35" s="6" t="n">
        <f aca="false">SUMIF(Setup!$D$5:$D$17,AG4,Setup!$C$5:$C$17)</f>
        <v>0</v>
      </c>
      <c r="AH35" s="6" t="n">
        <f aca="false">SUMIF(Setup!$D$5:$D$17,AH4,Setup!$C$5:$C$17)</f>
        <v>0</v>
      </c>
      <c r="AI35" s="6" t="n">
        <f aca="false">SUMIF(Setup!$D$5:$D$17,AI4,Setup!$C$5:$C$17)</f>
        <v>0</v>
      </c>
      <c r="AJ35" s="6" t="n">
        <f aca="false">SUMIF(Setup!$D$5:$D$17,AJ4,Setup!$C$5:$C$17)</f>
        <v>0</v>
      </c>
      <c r="AK35" s="6" t="n">
        <f aca="false">SUMIF(Setup!$D$5:$D$17,AK4,Setup!$C$5:$C$17)</f>
        <v>0</v>
      </c>
      <c r="AL35" s="6" t="n">
        <f aca="false">SUMIF(Setup!$D$5:$D$17,AL4,Setup!$C$5:$C$17)</f>
        <v>0</v>
      </c>
    </row>
    <row r="36" customFormat="false" ht="15" hidden="false" customHeight="false" outlineLevel="0" collapsed="false">
      <c r="B36" s="14" t="s">
        <v>288</v>
      </c>
      <c r="C36" s="29" t="n">
        <f aca="false">SUM(C28:C35)</f>
        <v>148900</v>
      </c>
      <c r="D36" s="29" t="n">
        <f aca="false">SUM(D28:D35)</f>
        <v>115300</v>
      </c>
      <c r="E36" s="29" t="n">
        <f aca="false">SUM(E28:E35)</f>
        <v>90300</v>
      </c>
      <c r="F36" s="29" t="n">
        <f aca="false">SUM(F28:F35)</f>
        <v>124300</v>
      </c>
      <c r="G36" s="29" t="n">
        <f aca="false">SUM(G28:G35)</f>
        <v>99300</v>
      </c>
      <c r="H36" s="29" t="n">
        <f aca="false">SUM(H28:H35)</f>
        <v>152300</v>
      </c>
      <c r="I36" s="29" t="n">
        <f aca="false">SUM(I28:I35)</f>
        <v>136300</v>
      </c>
      <c r="J36" s="29" t="n">
        <f aca="false">SUM(J28:J35)</f>
        <v>138220</v>
      </c>
      <c r="K36" s="29" t="n">
        <f aca="false">SUM(K28:K35)</f>
        <v>140293.6</v>
      </c>
      <c r="L36" s="29" t="n">
        <f aca="false">SUM(L28:L35)</f>
        <v>153533.088</v>
      </c>
      <c r="M36" s="29" t="n">
        <f aca="false">SUM(M28:M35)</f>
        <v>155951.73504</v>
      </c>
      <c r="N36" s="29" t="n">
        <f aca="false">SUM(N28:N35)</f>
        <v>158563.8738432</v>
      </c>
      <c r="O36" s="29" t="n">
        <f aca="false">SUM(O28:O35)</f>
        <v>184384.983750656</v>
      </c>
      <c r="P36" s="29" t="n">
        <f aca="false">SUM(P28:P35)</f>
        <v>187431.782450709</v>
      </c>
      <c r="Q36" s="29" t="n">
        <f aca="false">SUM(Q28:Q35)</f>
        <v>190722.325046765</v>
      </c>
      <c r="R36" s="29" t="n">
        <f aca="false">SUM(R28:R35)</f>
        <v>219276.111050506</v>
      </c>
      <c r="S36" s="29" t="n">
        <f aca="false">SUM(S28:S35)</f>
        <v>223114.199934547</v>
      </c>
      <c r="T36" s="29" t="n">
        <f aca="false">SUM(T28:T35)</f>
        <v>227259.335929311</v>
      </c>
      <c r="U36" s="29" t="n">
        <f aca="false">SUM(U28:U35)</f>
        <v>249736.082803656</v>
      </c>
      <c r="V36" s="29" t="n">
        <f aca="false">SUM(V28:V35)</f>
        <v>254570.969427948</v>
      </c>
      <c r="W36" s="29" t="n">
        <f aca="false">SUM(W28:W35)</f>
        <v>259792.646982184</v>
      </c>
      <c r="X36" s="29" t="n">
        <f aca="false">SUM(X28:X35)</f>
        <v>265432.058740759</v>
      </c>
      <c r="Y36" s="29" t="n">
        <f aca="false">SUM(Y28:Y35)</f>
        <v>271522.623440019</v>
      </c>
      <c r="Z36" s="29" t="n">
        <f aca="false">SUM(Z28:Z35)</f>
        <v>278100.433315221</v>
      </c>
      <c r="AA36" s="29" t="n">
        <f aca="false">SUM(AA28:AA35)</f>
        <v>285204.467980438</v>
      </c>
      <c r="AB36" s="29" t="n">
        <f aca="false">SUM(AB28:AB35)</f>
        <v>292876.825418874</v>
      </c>
      <c r="AC36" s="29" t="n">
        <f aca="false">SUM(AC28:AC35)</f>
        <v>301162.971452383</v>
      </c>
      <c r="AD36" s="29" t="n">
        <f aca="false">SUM(AD28:AD35)</f>
        <v>310112.009168574</v>
      </c>
      <c r="AE36" s="29" t="n">
        <f aca="false">SUM(AE28:AE35)</f>
        <v>319776.96990206</v>
      </c>
      <c r="AF36" s="29" t="n">
        <f aca="false">SUM(AF28:AF35)</f>
        <v>330215.127494225</v>
      </c>
      <c r="AG36" s="29" t="n">
        <f aca="false">SUM(AG28:AG35)</f>
        <v>341488.337693763</v>
      </c>
      <c r="AH36" s="29" t="n">
        <f aca="false">SUM(AH28:AH35)</f>
        <v>353663.404709264</v>
      </c>
      <c r="AI36" s="29" t="n">
        <f aca="false">SUM(AI28:AI35)</f>
        <v>366812.477086005</v>
      </c>
      <c r="AJ36" s="29" t="n">
        <f aca="false">SUM(AJ28:AJ35)</f>
        <v>381013.475252885</v>
      </c>
      <c r="AK36" s="29" t="n">
        <f aca="false">SUM(AK28:AK35)</f>
        <v>396350.553273116</v>
      </c>
      <c r="AL36" s="29" t="n">
        <f aca="false">SUM(AL28:AL35)</f>
        <v>412914.597534966</v>
      </c>
    </row>
    <row r="38" customFormat="false" ht="15" hidden="false" customHeight="false" outlineLevel="0" collapsed="false">
      <c r="B38" s="14" t="s">
        <v>289</v>
      </c>
      <c r="C38" s="29" t="n">
        <f aca="false">C25-C36</f>
        <v>-150080</v>
      </c>
      <c r="D38" s="29" t="n">
        <f aca="false">D25-D36</f>
        <v>-116480</v>
      </c>
      <c r="E38" s="29" t="n">
        <f aca="false">E25-E36</f>
        <v>-91480</v>
      </c>
      <c r="F38" s="29" t="n">
        <f aca="false">F25-F36</f>
        <v>-125480</v>
      </c>
      <c r="G38" s="29" t="n">
        <f aca="false">G25-G36</f>
        <v>-100480</v>
      </c>
      <c r="H38" s="29" t="n">
        <f aca="false">H25-H36</f>
        <v>-155250</v>
      </c>
      <c r="I38" s="29" t="n">
        <f aca="false">I25-I36</f>
        <v>-137535.7365</v>
      </c>
      <c r="J38" s="29" t="n">
        <f aca="false">J25-J36</f>
        <v>-131945.8897575</v>
      </c>
      <c r="K38" s="29" t="n">
        <f aca="false">K25-K36</f>
        <v>-126076.172917163</v>
      </c>
      <c r="L38" s="29" t="n">
        <f aca="false">L25-L36</f>
        <v>-130900.013430121</v>
      </c>
      <c r="M38" s="29" t="n">
        <f aca="false">M25-M36</f>
        <v>-124388.817517127</v>
      </c>
      <c r="N38" s="29" t="n">
        <f aca="false">N25-N36</f>
        <v>-117511.805855779</v>
      </c>
      <c r="O38" s="29" t="n">
        <f aca="false">O25-O36</f>
        <v>-133235.836188091</v>
      </c>
      <c r="P38" s="29" t="n">
        <f aca="false">P25-P36</f>
        <v>-125525.211800391</v>
      </c>
      <c r="Q38" s="29" t="n">
        <f aca="false">Q25-Q36</f>
        <v>-125841.474743744</v>
      </c>
      <c r="R38" s="29" t="n">
        <f aca="false">R25-R36</f>
        <v>-142143.182572582</v>
      </c>
      <c r="S38" s="29" t="n">
        <f aca="false">S25-S36</f>
        <v>-132885.667281494</v>
      </c>
      <c r="T38" s="29" t="n">
        <f aca="false">T25-T36</f>
        <v>-123020.775014541</v>
      </c>
      <c r="U38" s="29" t="n">
        <f aca="false">U25-U36</f>
        <v>-130496.585007469</v>
      </c>
      <c r="V38" s="29" t="n">
        <f aca="false">V25-V36</f>
        <v>-127757.106100037</v>
      </c>
      <c r="W38" s="29" t="n">
        <f aca="false">W25-W36</f>
        <v>-115741.949022711</v>
      </c>
      <c r="X38" s="29" t="n">
        <f aca="false">X25-X36</f>
        <v>-102885.972518332</v>
      </c>
      <c r="Y38" s="29" t="n">
        <f aca="false">Y25-Y36</f>
        <v>-89118.9012042581</v>
      </c>
      <c r="Z38" s="29" t="n">
        <f aca="false">Z25-Z36</f>
        <v>-82864.9129129464</v>
      </c>
      <c r="AA38" s="29" t="n">
        <f aca="false">AA25-AA36</f>
        <v>-67042.1930680212</v>
      </c>
      <c r="AB38" s="29" t="n">
        <f aca="false">AB25-AB36</f>
        <v>-50062.4534574509</v>
      </c>
      <c r="AC38" s="29" t="n">
        <f aca="false">AC25-AC36</f>
        <v>-40330.4125544352</v>
      </c>
      <c r="AD38" s="29" t="n">
        <f aca="false">AD25-AD36</f>
        <v>-20743.2343086686</v>
      </c>
      <c r="AE38" s="29" t="n">
        <f aca="false">AE25-AE36</f>
        <v>-8189.9220844938</v>
      </c>
      <c r="AF38" s="29" t="n">
        <f aca="false">AF25-AF36</f>
        <v>14449.3358433933</v>
      </c>
      <c r="AG38" s="29" t="n">
        <f aca="false">AG25-AG36</f>
        <v>30303.8731131454</v>
      </c>
      <c r="AH38" s="29" t="n">
        <f aca="false">AH25-AH36</f>
        <v>56513.3086044203</v>
      </c>
      <c r="AI38" s="29" t="n">
        <f aca="false">AI25-AI36</f>
        <v>76228.370793942</v>
      </c>
      <c r="AJ38" s="29" t="n">
        <f aca="false">AJ25-AJ36</f>
        <v>106611.788021096</v>
      </c>
      <c r="AK38" s="29" t="n">
        <f aca="false">AK25-AK36</f>
        <v>130839.249937331</v>
      </c>
      <c r="AL38" s="29" t="n">
        <f aca="false">AL25-AL36</f>
        <v>157600.445835002</v>
      </c>
    </row>
    <row r="39" customFormat="false" ht="15" hidden="false" customHeight="false" outlineLevel="0" collapsed="false">
      <c r="B39" s="14" t="s">
        <v>290</v>
      </c>
      <c r="C39" s="29" t="n">
        <f aca="false">C38</f>
        <v>-150080</v>
      </c>
      <c r="D39" s="29" t="n">
        <f aca="false">C39+D38</f>
        <v>-266560</v>
      </c>
      <c r="E39" s="29" t="n">
        <f aca="false">D39+E38</f>
        <v>-358040</v>
      </c>
      <c r="F39" s="29" t="n">
        <f aca="false">E39+F38</f>
        <v>-483520</v>
      </c>
      <c r="G39" s="29" t="n">
        <f aca="false">F39+G38</f>
        <v>-584000</v>
      </c>
      <c r="H39" s="29" t="n">
        <f aca="false">G39+H38</f>
        <v>-739250</v>
      </c>
      <c r="I39" s="29" t="n">
        <f aca="false">H39+I38</f>
        <v>-876785.7365</v>
      </c>
      <c r="J39" s="29" t="n">
        <f aca="false">I39+J38</f>
        <v>-1008731.6262575</v>
      </c>
      <c r="K39" s="29" t="n">
        <f aca="false">J39+K38</f>
        <v>-1134807.79917466</v>
      </c>
      <c r="L39" s="29" t="n">
        <f aca="false">K39+L38</f>
        <v>-1265707.81260478</v>
      </c>
      <c r="M39" s="29" t="n">
        <f aca="false">L39+M38</f>
        <v>-1390096.63012191</v>
      </c>
      <c r="N39" s="29" t="n">
        <f aca="false">M39+N38</f>
        <v>-1507608.43597769</v>
      </c>
      <c r="O39" s="29" t="n">
        <f aca="false">N39+O38</f>
        <v>-1640844.27216578</v>
      </c>
      <c r="P39" s="29" t="n">
        <f aca="false">O39+P38</f>
        <v>-1766369.48396617</v>
      </c>
      <c r="Q39" s="29" t="n">
        <f aca="false">P39+Q38</f>
        <v>-1892210.95870992</v>
      </c>
      <c r="R39" s="29" t="n">
        <f aca="false">Q39+R38</f>
        <v>-2034354.1412825</v>
      </c>
      <c r="S39" s="29" t="n">
        <f aca="false">R39+S38</f>
        <v>-2167239.80856399</v>
      </c>
      <c r="T39" s="29" t="n">
        <f aca="false">S39+T38</f>
        <v>-2290260.58357853</v>
      </c>
      <c r="U39" s="29" t="n">
        <f aca="false">T39+U38</f>
        <v>-2420757.168586</v>
      </c>
      <c r="V39" s="29" t="n">
        <f aca="false">U39+V38</f>
        <v>-2548514.27468604</v>
      </c>
      <c r="W39" s="29" t="n">
        <f aca="false">V39+W38</f>
        <v>-2664256.22370875</v>
      </c>
      <c r="X39" s="29" t="n">
        <f aca="false">W39+X38</f>
        <v>-2767142.19622708</v>
      </c>
      <c r="Y39" s="29" t="n">
        <f aca="false">X39+Y38</f>
        <v>-2856261.09743134</v>
      </c>
      <c r="Z39" s="29" t="n">
        <f aca="false">Y39+Z38</f>
        <v>-2939126.01034429</v>
      </c>
      <c r="AA39" s="29" t="n">
        <f aca="false">Z39+AA38</f>
        <v>-3006168.20341231</v>
      </c>
      <c r="AB39" s="29" t="n">
        <f aca="false">AA39+AB38</f>
        <v>-3056230.65686976</v>
      </c>
      <c r="AC39" s="29" t="n">
        <f aca="false">AB39+AC38</f>
        <v>-3096561.0694242</v>
      </c>
      <c r="AD39" s="29" t="n">
        <f aca="false">AC39+AD38</f>
        <v>-3117304.30373286</v>
      </c>
      <c r="AE39" s="29" t="n">
        <f aca="false">AD39+AE38</f>
        <v>-3125494.22581736</v>
      </c>
      <c r="AF39" s="29" t="n">
        <f aca="false">AE39+AF38</f>
        <v>-3111044.88997396</v>
      </c>
      <c r="AG39" s="29" t="n">
        <f aca="false">AF39+AG38</f>
        <v>-3080741.01686082</v>
      </c>
      <c r="AH39" s="29" t="n">
        <f aca="false">AG39+AH38</f>
        <v>-3024227.7082564</v>
      </c>
      <c r="AI39" s="29" t="n">
        <f aca="false">AH39+AI38</f>
        <v>-2947999.33746246</v>
      </c>
      <c r="AJ39" s="29" t="n">
        <f aca="false">AI39+AJ38</f>
        <v>-2841387.54944136</v>
      </c>
      <c r="AK39" s="29" t="n">
        <f aca="false">AJ39+AK38</f>
        <v>-2710548.29950403</v>
      </c>
      <c r="AL39" s="29" t="n">
        <f aca="false">AK39+AL38</f>
        <v>-2552947.85366903</v>
      </c>
    </row>
    <row r="40" customFormat="false" ht="15" hidden="false" customHeight="false" outlineLevel="0" collapsed="false">
      <c r="B40" s="2" t="s">
        <v>291</v>
      </c>
      <c r="C40" s="6" t="n">
        <f aca="false">C24+C36</f>
        <v>150080</v>
      </c>
      <c r="D40" s="6" t="n">
        <f aca="false">D24+D36</f>
        <v>116480</v>
      </c>
      <c r="E40" s="6" t="n">
        <f aca="false">E24+E36</f>
        <v>91480</v>
      </c>
      <c r="F40" s="6" t="n">
        <f aca="false">F24+F36</f>
        <v>125480</v>
      </c>
      <c r="G40" s="6" t="n">
        <f aca="false">G24+G36</f>
        <v>100480</v>
      </c>
      <c r="H40" s="6" t="n">
        <f aca="false">H24+H36</f>
        <v>155250</v>
      </c>
      <c r="I40" s="6" t="n">
        <f aca="false">I24+I36</f>
        <v>149529.7365</v>
      </c>
      <c r="J40" s="6" t="n">
        <f aca="false">J24+J36</f>
        <v>153229.8097575</v>
      </c>
      <c r="K40" s="6" t="n">
        <f aca="false">K24+K36</f>
        <v>157184.946517163</v>
      </c>
      <c r="L40" s="6" t="n">
        <f aca="false">L24+L36</f>
        <v>172416.575418121</v>
      </c>
      <c r="M40" s="6" t="n">
        <f aca="false">M24+M36</f>
        <v>176947.813801667</v>
      </c>
      <c r="N40" s="6" t="n">
        <f aca="false">N24+N36</f>
        <v>181803.603447145</v>
      </c>
      <c r="O40" s="6" t="n">
        <f aca="false">O24+O36</f>
        <v>210010.857150727</v>
      </c>
      <c r="P40" s="6" t="n">
        <f aca="false">P24+P36</f>
        <v>215598.6170149</v>
      </c>
      <c r="Q40" s="6" t="n">
        <f aca="false">Q24+Q36</f>
        <v>230098.225385904</v>
      </c>
      <c r="R40" s="6" t="n">
        <f aca="false">R24+R36</f>
        <v>261543.509451343</v>
      </c>
      <c r="S40" s="6" t="n">
        <f aca="false">S24+S36</f>
        <v>268470.980591153</v>
      </c>
      <c r="T40" s="6" t="n">
        <f aca="false">T24+T36</f>
        <v>275920.049662556</v>
      </c>
      <c r="U40" s="6" t="n">
        <f aca="false">U24+U36</f>
        <v>301933.259494067</v>
      </c>
      <c r="V40" s="6" t="n">
        <f aca="false">V24+V36</f>
        <v>319056.535965637</v>
      </c>
      <c r="W40" s="6" t="n">
        <f aca="false">W24+W36</f>
        <v>328339.459162132</v>
      </c>
      <c r="X40" s="6" t="n">
        <f aca="false">X24+X36</f>
        <v>338335.556206365</v>
      </c>
      <c r="Y40" s="6" t="n">
        <f aca="false">Y24+Y36</f>
        <v>349102.617506355</v>
      </c>
      <c r="Z40" s="6" t="n">
        <f aca="false">Z24+Z36</f>
        <v>369203.038290257</v>
      </c>
      <c r="AA40" s="6" t="n">
        <f aca="false">AA24+AA36</f>
        <v>381704.187452287</v>
      </c>
      <c r="AB40" s="6" t="n">
        <f aca="false">AB24+AB36</f>
        <v>395178.805894809</v>
      </c>
      <c r="AC40" s="6" t="n">
        <f aca="false">AC24+AC36</f>
        <v>418205.436726574</v>
      </c>
      <c r="AD40" s="6" t="n">
        <f aca="false">AD24+AD36</f>
        <v>433868.889865876</v>
      </c>
      <c r="AE40" s="6" t="n">
        <f aca="false">AE24+AE36</f>
        <v>459260.743801292</v>
      </c>
      <c r="AF40" s="6" t="n">
        <f aca="false">AF24+AF36</f>
        <v>477479.887482888</v>
      </c>
      <c r="AG40" s="6" t="n">
        <f aca="false">AG24+AG36</f>
        <v>505633.105554575</v>
      </c>
      <c r="AH40" s="6" t="n">
        <f aca="false">AH24+AH36</f>
        <v>526835.71039517</v>
      </c>
      <c r="AI40" s="6" t="n">
        <f aca="false">AI24+AI36</f>
        <v>558212.224713107</v>
      </c>
      <c r="AJ40" s="6" t="n">
        <f aca="false">AJ24+AJ36</f>
        <v>582897.118739321</v>
      </c>
      <c r="AK40" s="6" t="n">
        <f aca="false">AK24+AK36</f>
        <v>618035.606386403</v>
      </c>
      <c r="AL40" s="6" t="n">
        <f aca="false">AL24+AL36</f>
        <v>655284.505091553</v>
      </c>
    </row>
    <row r="42" customFormat="false" ht="15" hidden="false" customHeight="false" outlineLevel="0" collapsed="false">
      <c r="B42" s="2" t="s">
        <v>292</v>
      </c>
      <c r="C42" s="8" t="n">
        <f aca="false">IF(AND(C6=1,C38&gt;0),C4,999)</f>
        <v>999</v>
      </c>
      <c r="D42" s="8" t="n">
        <f aca="false">IF(AND(D6=1,D38&gt;0),D4,999)</f>
        <v>999</v>
      </c>
      <c r="E42" s="8" t="n">
        <f aca="false">IF(AND(E6=1,E38&gt;0),E4,999)</f>
        <v>999</v>
      </c>
      <c r="F42" s="8" t="n">
        <f aca="false">IF(AND(F6=1,F38&gt;0),F4,999)</f>
        <v>999</v>
      </c>
      <c r="G42" s="8" t="n">
        <f aca="false">IF(AND(G6=1,G38&gt;0),G4,999)</f>
        <v>999</v>
      </c>
      <c r="H42" s="8" t="n">
        <f aca="false">IF(AND(H6=1,H38&gt;0),H4,999)</f>
        <v>999</v>
      </c>
      <c r="I42" s="8" t="n">
        <f aca="false">IF(AND(I6=1,I38&gt;0),I4,999)</f>
        <v>999</v>
      </c>
      <c r="J42" s="8" t="n">
        <f aca="false">IF(AND(J6=1,J38&gt;0),J4,999)</f>
        <v>999</v>
      </c>
      <c r="K42" s="8" t="n">
        <f aca="false">IF(AND(K6=1,K38&gt;0),K4,999)</f>
        <v>999</v>
      </c>
      <c r="L42" s="8" t="n">
        <f aca="false">IF(AND(L6=1,L38&gt;0),L4,999)</f>
        <v>999</v>
      </c>
      <c r="M42" s="8" t="n">
        <f aca="false">IF(AND(M6=1,M38&gt;0),M4,999)</f>
        <v>999</v>
      </c>
      <c r="N42" s="8" t="n">
        <f aca="false">IF(AND(N6=1,N38&gt;0),N4,999)</f>
        <v>999</v>
      </c>
      <c r="O42" s="8" t="n">
        <f aca="false">IF(AND(O6=1,O38&gt;0),O4,999)</f>
        <v>999</v>
      </c>
      <c r="P42" s="8" t="n">
        <f aca="false">IF(AND(P6=1,P38&gt;0),P4,999)</f>
        <v>999</v>
      </c>
      <c r="Q42" s="8" t="n">
        <f aca="false">IF(AND(Q6=1,Q38&gt;0),Q4,999)</f>
        <v>999</v>
      </c>
      <c r="R42" s="8" t="n">
        <f aca="false">IF(AND(R6=1,R38&gt;0),R4,999)</f>
        <v>999</v>
      </c>
      <c r="S42" s="8" t="n">
        <f aca="false">IF(AND(S6=1,S38&gt;0),S4,999)</f>
        <v>999</v>
      </c>
      <c r="T42" s="8" t="n">
        <f aca="false">IF(AND(T6=1,T38&gt;0),T4,999)</f>
        <v>999</v>
      </c>
      <c r="U42" s="8" t="n">
        <f aca="false">IF(AND(U6=1,U38&gt;0),U4,999)</f>
        <v>999</v>
      </c>
      <c r="V42" s="8" t="n">
        <f aca="false">IF(AND(V6=1,V38&gt;0),V4,999)</f>
        <v>999</v>
      </c>
      <c r="W42" s="8" t="n">
        <f aca="false">IF(AND(W6=1,W38&gt;0),W4,999)</f>
        <v>999</v>
      </c>
      <c r="X42" s="8" t="n">
        <f aca="false">IF(AND(X6=1,X38&gt;0),X4,999)</f>
        <v>999</v>
      </c>
      <c r="Y42" s="8" t="n">
        <f aca="false">IF(AND(Y6=1,Y38&gt;0),Y4,999)</f>
        <v>999</v>
      </c>
      <c r="Z42" s="8" t="n">
        <f aca="false">IF(AND(Z6=1,Z38&gt;0),Z4,999)</f>
        <v>999</v>
      </c>
      <c r="AA42" s="8" t="n">
        <f aca="false">IF(AND(AA6=1,AA38&gt;0),AA4,999)</f>
        <v>999</v>
      </c>
      <c r="AB42" s="8" t="n">
        <f aca="false">IF(AND(AB6=1,AB38&gt;0),AB4,999)</f>
        <v>999</v>
      </c>
      <c r="AC42" s="8" t="n">
        <f aca="false">IF(AND(AC6=1,AC38&gt;0),AC4,999)</f>
        <v>999</v>
      </c>
      <c r="AD42" s="8" t="n">
        <f aca="false">IF(AND(AD6=1,AD38&gt;0),AD4,999)</f>
        <v>999</v>
      </c>
      <c r="AE42" s="8" t="n">
        <f aca="false">IF(AND(AE6=1,AE38&gt;0),AE4,999)</f>
        <v>999</v>
      </c>
      <c r="AF42" s="8" t="n">
        <f aca="false">IF(AND(AF6=1,AF38&gt;0),AF4,999)</f>
        <v>30</v>
      </c>
      <c r="AG42" s="8" t="n">
        <f aca="false">IF(AND(AG6=1,AG38&gt;0),AG4,999)</f>
        <v>31</v>
      </c>
      <c r="AH42" s="8" t="n">
        <f aca="false">IF(AND(AH6=1,AH38&gt;0),AH4,999)</f>
        <v>32</v>
      </c>
      <c r="AI42" s="8" t="n">
        <f aca="false">IF(AND(AI6=1,AI38&gt;0),AI4,999)</f>
        <v>33</v>
      </c>
      <c r="AJ42" s="8" t="n">
        <f aca="false">IF(AND(AJ6=1,AJ38&gt;0),AJ4,999)</f>
        <v>34</v>
      </c>
      <c r="AK42" s="8" t="n">
        <f aca="false">IF(AND(AK6=1,AK38&gt;0),AK4,999)</f>
        <v>35</v>
      </c>
      <c r="AL42" s="8" t="n">
        <f aca="false">IF(AND(AL6=1,AL38&gt;0),AL4,999)</f>
        <v>36</v>
      </c>
    </row>
    <row r="43" customFormat="false" ht="15" hidden="false" customHeight="false" outlineLevel="0" collapsed="false">
      <c r="B43" s="2" t="s">
        <v>293</v>
      </c>
      <c r="C43" s="8" t="n">
        <f aca="false">IF(AND(C6=1,C39&gt;=0),C4,999)</f>
        <v>999</v>
      </c>
      <c r="D43" s="8" t="n">
        <f aca="false">IF(AND(D6=1,D39&gt;=0),D4,999)</f>
        <v>999</v>
      </c>
      <c r="E43" s="8" t="n">
        <f aca="false">IF(AND(E6=1,E39&gt;=0),E4,999)</f>
        <v>999</v>
      </c>
      <c r="F43" s="8" t="n">
        <f aca="false">IF(AND(F6=1,F39&gt;=0),F4,999)</f>
        <v>999</v>
      </c>
      <c r="G43" s="8" t="n">
        <f aca="false">IF(AND(G6=1,G39&gt;=0),G4,999)</f>
        <v>999</v>
      </c>
      <c r="H43" s="8" t="n">
        <f aca="false">IF(AND(H6=1,H39&gt;=0),H4,999)</f>
        <v>999</v>
      </c>
      <c r="I43" s="8" t="n">
        <f aca="false">IF(AND(I6=1,I39&gt;=0),I4,999)</f>
        <v>999</v>
      </c>
      <c r="J43" s="8" t="n">
        <f aca="false">IF(AND(J6=1,J39&gt;=0),J4,999)</f>
        <v>999</v>
      </c>
      <c r="K43" s="8" t="n">
        <f aca="false">IF(AND(K6=1,K39&gt;=0),K4,999)</f>
        <v>999</v>
      </c>
      <c r="L43" s="8" t="n">
        <f aca="false">IF(AND(L6=1,L39&gt;=0),L4,999)</f>
        <v>999</v>
      </c>
      <c r="M43" s="8" t="n">
        <f aca="false">IF(AND(M6=1,M39&gt;=0),M4,999)</f>
        <v>999</v>
      </c>
      <c r="N43" s="8" t="n">
        <f aca="false">IF(AND(N6=1,N39&gt;=0),N4,999)</f>
        <v>999</v>
      </c>
      <c r="O43" s="8" t="n">
        <f aca="false">IF(AND(O6=1,O39&gt;=0),O4,999)</f>
        <v>999</v>
      </c>
      <c r="P43" s="8" t="n">
        <f aca="false">IF(AND(P6=1,P39&gt;=0),P4,999)</f>
        <v>999</v>
      </c>
      <c r="Q43" s="8" t="n">
        <f aca="false">IF(AND(Q6=1,Q39&gt;=0),Q4,999)</f>
        <v>999</v>
      </c>
      <c r="R43" s="8" t="n">
        <f aca="false">IF(AND(R6=1,R39&gt;=0),R4,999)</f>
        <v>999</v>
      </c>
      <c r="S43" s="8" t="n">
        <f aca="false">IF(AND(S6=1,S39&gt;=0),S4,999)</f>
        <v>999</v>
      </c>
      <c r="T43" s="8" t="n">
        <f aca="false">IF(AND(T6=1,T39&gt;=0),T4,999)</f>
        <v>999</v>
      </c>
      <c r="U43" s="8" t="n">
        <f aca="false">IF(AND(U6=1,U39&gt;=0),U4,999)</f>
        <v>999</v>
      </c>
      <c r="V43" s="8" t="n">
        <f aca="false">IF(AND(V6=1,V39&gt;=0),V4,999)</f>
        <v>999</v>
      </c>
      <c r="W43" s="8" t="n">
        <f aca="false">IF(AND(W6=1,W39&gt;=0),W4,999)</f>
        <v>999</v>
      </c>
      <c r="X43" s="8" t="n">
        <f aca="false">IF(AND(X6=1,X39&gt;=0),X4,999)</f>
        <v>999</v>
      </c>
      <c r="Y43" s="8" t="n">
        <f aca="false">IF(AND(Y6=1,Y39&gt;=0),Y4,999)</f>
        <v>999</v>
      </c>
      <c r="Z43" s="8" t="n">
        <f aca="false">IF(AND(Z6=1,Z39&gt;=0),Z4,999)</f>
        <v>999</v>
      </c>
      <c r="AA43" s="8" t="n">
        <f aca="false">IF(AND(AA6=1,AA39&gt;=0),AA4,999)</f>
        <v>999</v>
      </c>
      <c r="AB43" s="8" t="n">
        <f aca="false">IF(AND(AB6=1,AB39&gt;=0),AB4,999)</f>
        <v>999</v>
      </c>
      <c r="AC43" s="8" t="n">
        <f aca="false">IF(AND(AC6=1,AC39&gt;=0),AC4,999)</f>
        <v>999</v>
      </c>
      <c r="AD43" s="8" t="n">
        <f aca="false">IF(AND(AD6=1,AD39&gt;=0),AD4,999)</f>
        <v>999</v>
      </c>
      <c r="AE43" s="8" t="n">
        <f aca="false">IF(AND(AE6=1,AE39&gt;=0),AE4,999)</f>
        <v>999</v>
      </c>
      <c r="AF43" s="8" t="n">
        <f aca="false">IF(AND(AF6=1,AF39&gt;=0),AF4,999)</f>
        <v>999</v>
      </c>
      <c r="AG43" s="8" t="n">
        <f aca="false">IF(AND(AG6=1,AG39&gt;=0),AG4,999)</f>
        <v>999</v>
      </c>
      <c r="AH43" s="8" t="n">
        <f aca="false">IF(AND(AH6=1,AH39&gt;=0),AH4,999)</f>
        <v>999</v>
      </c>
      <c r="AI43" s="8" t="n">
        <f aca="false">IF(AND(AI6=1,AI39&gt;=0),AI4,999)</f>
        <v>999</v>
      </c>
      <c r="AJ43" s="8" t="n">
        <f aca="false">IF(AND(AJ6=1,AJ39&gt;=0),AJ4,999)</f>
        <v>999</v>
      </c>
      <c r="AK43" s="8" t="n">
        <f aca="false">IF(AND(AK6=1,AK39&gt;=0),AK4,999)</f>
        <v>999</v>
      </c>
      <c r="AL43" s="8" t="n">
        <f aca="false">IF(AND(AL6=1,AL39&gt;=0),AL4,999)</f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2026-10-30T01:28:45Z</dcterms:created>
  <dc:creator>openpyxl</dc:creator>
  <dc:description/>
  <dc:language>en-US</dc:language>
  <cp:lastModifiedBy/>
  <dcterms:modified xsi:type="dcterms:W3CDTF">2026-10-30T01:28:48Z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