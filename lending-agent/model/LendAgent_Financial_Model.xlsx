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Pricing" sheetId="4" state="visible" r:id="rId6"/>
    <sheet name="UnitCosts" sheetId="5" state="visible" r:id="rId7"/>
    <sheet name="Infrastructure" sheetId="6" state="visible" r:id="rId8"/>
    <sheet name="Staffing" sheetId="7" state="visible" r:id="rId9"/>
    <sheet name="Setup" sheetId="8" state="visible" r:id="rId10"/>
    <sheet name="Monthl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3" authorId="0">
      <text>
        <r>
          <rPr>
            <sz val="10"/>
            <rFont val="Arial"/>
            <family val="2"/>
          </rPr>
          <t xml:space="preserve">Assumption: B2B tools typically capture 2-5% of the revenue they influence. Keep list price below this ceiling.</t>
        </r>
      </text>
    </comment>
  </commentList>
</comments>
</file>

<file path=xl/sharedStrings.xml><?xml version="1.0" encoding="utf-8"?>
<sst xmlns="http://schemas.openxmlformats.org/spreadsheetml/2006/main" count="335" uniqueCount="328">
  <si>
    <t xml:space="preserve">How to use this model</t>
  </si>
  <si>
    <t xml:space="preserve">1. Pick a growth scenario in Assumptions!F3 (1 Slow, 2 Moderate, 3 Faster) and a team plan in the team_plan row (1 Full, 2 Lean, 3 Very lean). Shipped as Slow + Very lean.</t>
  </si>
  <si>
    <t xml:space="preserve">2. Blue cells are inputs; yellow cells are key levers. Black cells are formulas - don't overwrite them.</t>
  </si>
  <si>
    <t xml:space="preserve">3. Summary shows setup cost, capital required, break-even, unit economics, pricing.</t>
  </si>
  <si>
    <t xml:space="preserve">4. Pricing compares each plan's price with the commission the subscriber expects to earn and the analyst time saved.</t>
  </si>
  <si>
    <t xml:space="preserve">5. UnitCosts derives Claude AI cost per deal from token volumes and list prices.</t>
  </si>
  <si>
    <t xml:space="preserve">6. Infrastructure itemizes the AWS servers defined in infra/terraform.</t>
  </si>
  <si>
    <t xml:space="preserve">All figures are planning estimates, not quotes. Validate the starred growth and churn assumptions with beta customers.</t>
  </si>
  <si>
    <t xml:space="preserve">LendAgent - business model summary</t>
  </si>
  <si>
    <t xml:space="preserve">Change inputs on Assumptions / Pricing / UnitCosts / Infrastructure / Staffing / Setup.</t>
  </si>
  <si>
    <t xml:space="preserve">Scenario shown</t>
  </si>
  <si>
    <t xml:space="preserve">Cost to set up the business</t>
  </si>
  <si>
    <t xml:space="preserve">One-time setup costs (legal, SOC 2, pen test, brand, equipment)</t>
  </si>
  <si>
    <t xml:space="preserve">Pre-launch burn: all costs before first paid month</t>
  </si>
  <si>
    <t xml:space="preserve">Peak operating capital needed (salaries, servers, marketing until profitable; no loan funding)</t>
  </si>
  <si>
    <t xml:space="preserve">Month of peak capital need</t>
  </si>
  <si>
    <t xml:space="preserve">Recommended funding for the business (peak need + 25% cushion)</t>
  </si>
  <si>
    <t xml:space="preserve">Monthly run-rate costs</t>
  </si>
  <si>
    <t xml:space="preserve">Servers / hosting baseline per month (production)</t>
  </si>
  <si>
    <t xml:space="preserve">Security &amp; operations SaaS per month</t>
  </si>
  <si>
    <t xml:space="preserve">Total costs in month 12</t>
  </si>
  <si>
    <t xml:space="preserve">Total costs in month 36</t>
  </si>
  <si>
    <t xml:space="preserve">Unit economics (per account per month)</t>
  </si>
  <si>
    <t xml:space="preserve">Blended monthly fee per account</t>
  </si>
  <si>
    <t xml:space="preserve">Blended success fee per account (once closing)</t>
  </si>
  <si>
    <t xml:space="preserve">AI + OCR + hosting variable cost per account</t>
  </si>
  <si>
    <t xml:space="preserve">Claude AI cost per deal analyzed</t>
  </si>
  <si>
    <t xml:space="preserve">Contribution after variable costs and card fees</t>
  </si>
  <si>
    <t xml:space="preserve">Customer lifetime (months) = 1 / churn</t>
  </si>
  <si>
    <t xml:space="preserve">Lifetime value (LTV)</t>
  </si>
  <si>
    <t xml:space="preserve">Customer acquisition cost (CAC)</t>
  </si>
  <si>
    <t xml:space="preserve">LTV / CAC</t>
  </si>
  <si>
    <t xml:space="preserve">CAC payback (months)</t>
  </si>
  <si>
    <t xml:space="preserve">Milestones</t>
  </si>
  <si>
    <t xml:space="preserve">First month with positive EBITDA</t>
  </si>
  <si>
    <t xml:space="preserve">Month cumulative cash turns positive</t>
  </si>
  <si>
    <t xml:space="preserve">Paying accounts - month 12</t>
  </si>
  <si>
    <t xml:space="preserve">Paying accounts - month 24</t>
  </si>
  <si>
    <t xml:space="preserve">Paying accounts - month 36</t>
  </si>
  <si>
    <t xml:space="preserve">Annual recurring revenue (ARR) - month 36</t>
  </si>
  <si>
    <t xml:space="preserve">Success fees as share of month-36 revenue</t>
  </si>
  <si>
    <t xml:space="preserve">Annual results</t>
  </si>
  <si>
    <t xml:space="preserve">Revenue - Year 1</t>
  </si>
  <si>
    <t xml:space="preserve">Revenue - Year 2</t>
  </si>
  <si>
    <t xml:space="preserve">Revenue - Year 3</t>
  </si>
  <si>
    <t xml:space="preserve">EBITDA - Year 1</t>
  </si>
  <si>
    <t xml:space="preserve">EBITDA - Year 2</t>
  </si>
  <si>
    <t xml:space="preserve">EBITDA - Year 3</t>
  </si>
  <si>
    <t xml:space="preserve">Gross margin - Year 3</t>
  </si>
  <si>
    <t xml:space="preserve">Pricing check</t>
  </si>
  <si>
    <t xml:space="preserve">Solo Broker: monthly fee + success fee as % of commission</t>
  </si>
  <si>
    <t xml:space="preserve">Broker Team: monthly fee + success fee as % of commission</t>
  </si>
  <si>
    <t xml:space="preserve">Brokerage Firm: monthly fee + success fee as % of commission</t>
  </si>
  <si>
    <t xml:space="preserve">Assumptions</t>
  </si>
  <si>
    <t xml:space="preserve">Blue = input you can change. Yellow = scenario selector. Column F feeds the model.</t>
  </si>
  <si>
    <t xml:space="preserve">Growth scenario (1 = Slow, 2 = Moderate, 3 = Faster)</t>
  </si>
  <si>
    <t xml:space="preserve">Assumption</t>
  </si>
  <si>
    <t xml:space="preserve">Slow</t>
  </si>
  <si>
    <t xml:space="preserve">Moderate</t>
  </si>
  <si>
    <t xml:space="preserve">Faster</t>
  </si>
  <si>
    <t xml:space="preserve">Selected</t>
  </si>
  <si>
    <t xml:space="preserve">Source / note</t>
  </si>
  <si>
    <t xml:space="preserve">Timing</t>
  </si>
  <si>
    <t xml:space="preserve">First paid month (earlier months = build + private beta)</t>
  </si>
  <si>
    <t xml:space="preserve">Slow: one engineer builds the MVP, so launch slips to month 9. See PLAN.md roadmap.</t>
  </si>
  <si>
    <t xml:space="preserve">Customer growth</t>
  </si>
  <si>
    <t xml:space="preserve">New paying accounts in launch month</t>
  </si>
  <si>
    <t xml:space="preserve">Founder-led sales from beta waitlist; assumption to validate in beta.</t>
  </si>
  <si>
    <t xml:space="preserve">Monthly growth in new-account adds</t>
  </si>
  <si>
    <t xml:space="preserve">Assumption. Slow = word of mouth and founder selling only.</t>
  </si>
  <si>
    <t xml:space="preserve">Cap on new accounts per month</t>
  </si>
  <si>
    <t xml:space="preserve">How many new brokers the team can onboard in a month.</t>
  </si>
  <si>
    <t xml:space="preserve">Monthly account churn</t>
  </si>
  <si>
    <t xml:space="preserve">Assumption. SMB vertical SaaS commonly 2-4%/mo.</t>
  </si>
  <si>
    <t xml:space="preserve">Plan mix (share of new accounts)</t>
  </si>
  <si>
    <t xml:space="preserve">Solo Broker plan share</t>
  </si>
  <si>
    <t xml:space="preserve">Assumption.</t>
  </si>
  <si>
    <t xml:space="preserve">Broker Team plan share</t>
  </si>
  <si>
    <t xml:space="preserve">Brokerage Firm plan share</t>
  </si>
  <si>
    <t xml:space="preserve">Assumption. Shares must total 100%.</t>
  </si>
  <si>
    <t xml:space="preserve">Usage</t>
  </si>
  <si>
    <t xml:space="preserve">Deals analyzed per seat per month</t>
  </si>
  <si>
    <t xml:space="preserve">Assumption: pipeline deals worked (not closed). Higher usage = higher AI cost.</t>
  </si>
  <si>
    <t xml:space="preserve">Support &amp; acquisition</t>
  </si>
  <si>
    <t xml:space="preserve">Accounts per customer-success/support rep</t>
  </si>
  <si>
    <t xml:space="preserve">Assumption for high-touch B2B onboarding.</t>
  </si>
  <si>
    <t xml:space="preserve">Customer acquisition cost per new account ($)</t>
  </si>
  <si>
    <t xml:space="preserve">Assumption: ads, events, referral fees. Slow = mostly founder-led selling, so less paid spend. Salaries are in Staffing. Validate after launch.</t>
  </si>
  <si>
    <t xml:space="preserve">Costs (all scenarios)</t>
  </si>
  <si>
    <t xml:space="preserve">Customer success rep, loaded monthly cost ($)</t>
  </si>
  <si>
    <t xml:space="preserve">~$80k salary x 1.25 burden / 12.</t>
  </si>
  <si>
    <t xml:space="preserve">Base marketing spend per month ($), from 2 months pre-launch</t>
  </si>
  <si>
    <t xml:space="preserve">Content, website, broker conferences and associations (e.g. AACFB, state broker groups).</t>
  </si>
  <si>
    <t xml:space="preserve">Card/ACH processing as % of revenue</t>
  </si>
  <si>
    <t xml:space="preserve">Stripe list price 2.9% + $0.30 (ACH cheaper).</t>
  </si>
  <si>
    <t xml:space="preserve">Variable hosting per seat per month ($)</t>
  </si>
  <si>
    <t xml:space="preserve">Storage, egress, worker compute, embeddings. Estimate.</t>
  </si>
  <si>
    <t xml:space="preserve">Per-tenant encryption key per account per month ($)</t>
  </si>
  <si>
    <t xml:space="preserve">AWS KMS customer-managed key $1/key/month.</t>
  </si>
  <si>
    <t xml:space="preserve">Hosting during build as % of production baseline</t>
  </si>
  <si>
    <t xml:space="preserve">Staging + small prod before launch.</t>
  </si>
  <si>
    <t xml:space="preserve">Insurance per month: cyber, tech E&amp;O, D&amp;O ($)</t>
  </si>
  <si>
    <t xml:space="preserve">Estimate; quotes vary with limits ($3-5M cyber/E&amp;O typical for fintech vendors).</t>
  </si>
  <si>
    <t xml:space="preserve">Accounting, bookkeeping, legal retainer per month ($)</t>
  </si>
  <si>
    <t xml:space="preserve">Estimate.</t>
  </si>
  <si>
    <t xml:space="preserve">SOC 2 Type II + annual pen test + audits, per month ($)</t>
  </si>
  <si>
    <t xml:space="preserve">~$60k/yr once on annual SOC 2 Type II cycle.</t>
  </si>
  <si>
    <t xml:space="preserve">Month recurring compliance costs begin</t>
  </si>
  <si>
    <t xml:space="preserve">After Type I.</t>
  </si>
  <si>
    <t xml:space="preserve">Team plan: 1 = Full, 2 = Lean, 3 = Very lean (see Staffing)</t>
  </si>
  <si>
    <t xml:space="preserve">Very lean = founder + one engineer, fractional lending expert and security, founder sells and supports early accounts.</t>
  </si>
  <si>
    <t xml:space="preserve">Other G&amp;A per month ($): software seats, travel, co-working</t>
  </si>
  <si>
    <t xml:space="preserve">Success fee on broker commission</t>
  </si>
  <si>
    <t xml:space="preserve">Success fee: share of each broker commission</t>
  </si>
  <si>
    <t xml:space="preserve">Your pricing decision. Confirm with regulatory counsel (see Pricing note).</t>
  </si>
  <si>
    <t xml:space="preserve">Share of broker commission reported and collected</t>
  </si>
  <si>
    <t xml:space="preserve">Assumption: not every closing runs through the platform, and some is under-reported or uncollected. Needs reporting + audit rights in the contract.</t>
  </si>
  <si>
    <t xml:space="preserve">Months from a broker joining to their first closed loan</t>
  </si>
  <si>
    <t xml:space="preserve">Typical commercial close is 60-120 days.</t>
  </si>
  <si>
    <t xml:space="preserve">Very lean overrides (used when team plan = 3)</t>
  </si>
  <si>
    <t xml:space="preserve">Base marketing per month ($)</t>
  </si>
  <si>
    <t xml:space="preserve">Website, LinkedIn content, one or two broker events a year.</t>
  </si>
  <si>
    <t xml:space="preserve">Accounting and legal retainer per month ($)</t>
  </si>
  <si>
    <t xml:space="preserve">Other G&amp;A per month ($)</t>
  </si>
  <si>
    <t xml:space="preserve">Remote, no office.</t>
  </si>
  <si>
    <t xml:space="preserve">Recurring compliance per month ($)</t>
  </si>
  <si>
    <t xml:space="preserve">Smaller-firm SOC 2 Type II + pen test pricing.</t>
  </si>
  <si>
    <t xml:space="preserve">Founder handles support until accounts exceed</t>
  </si>
  <si>
    <t xml:space="preserve">First support hire after this many paying accounts.</t>
  </si>
  <si>
    <t xml:space="preserve">Check: plan mix totals 100%</t>
  </si>
  <si>
    <t xml:space="preserve">Pricing vs. subscriber commission</t>
  </si>
  <si>
    <t xml:space="preserve">Value-based check: what each tier costs relative to the commission it helps close and the analyst time it saves.</t>
  </si>
  <si>
    <t xml:space="preserve">Per account, per month</t>
  </si>
  <si>
    <t xml:space="preserve">Solo Broker</t>
  </si>
  <si>
    <t xml:space="preserve">Broker Team</t>
  </si>
  <si>
    <t xml:space="preserve">Brokerage Firm</t>
  </si>
  <si>
    <t xml:space="preserve">Target subscriber</t>
  </si>
  <si>
    <t xml:space="preserve">Independent commercial loan broker</t>
  </si>
  <si>
    <t xml:space="preserve">Broker with 2-3 partners or analysts</t>
  </si>
  <si>
    <t xml:space="preserve">Commercial brokerage firm (up to 10 brokers)</t>
  </si>
  <si>
    <t xml:space="preserve">Seats included</t>
  </si>
  <si>
    <t xml:space="preserve">Average loan size ($)</t>
  </si>
  <si>
    <t xml:space="preserve">Broker fee / commission (% of loan)</t>
  </si>
  <si>
    <t xml:space="preserve">Loans closed per month</t>
  </si>
  <si>
    <t xml:space="preserve">Expected commission per month ($)</t>
  </si>
  <si>
    <t xml:space="preserve">Analyst hours saved per deal analyzed</t>
  </si>
  <si>
    <t xml:space="preserve">Value of broker/analyst time per hour ($)</t>
  </si>
  <si>
    <t xml:space="preserve">Value of time saved per month ($)</t>
  </si>
  <si>
    <t xml:space="preserve">Recommended list price per month ($)</t>
  </si>
  <si>
    <t xml:space="preserve">Price as % of expected commission</t>
  </si>
  <si>
    <t xml:space="preserve">Customer ROI on time saved alone</t>
  </si>
  <si>
    <t xml:space="preserve">Value-based ceiling at target share ($)</t>
  </si>
  <si>
    <t xml:space="preserve">One-time onboarding fee ($)</t>
  </si>
  <si>
    <t xml:space="preserve">Plan mix (from Assumptions)</t>
  </si>
  <si>
    <t xml:space="preserve">Target price as share of commission (value-based ceiling)</t>
  </si>
  <si>
    <t xml:space="preserve">Blended (by plan mix)</t>
  </si>
  <si>
    <t xml:space="preserve">Blended revenue per account per month (ARPA) ($)</t>
  </si>
  <si>
    <t xml:space="preserve">Blended seats per account</t>
  </si>
  <si>
    <t xml:space="preserve">Blended onboarding fee per new account ($)</t>
  </si>
  <si>
    <t xml:space="preserve">Blended expected broker commission per account ($)</t>
  </si>
  <si>
    <t xml:space="preserve">Monthly fee + success fee</t>
  </si>
  <si>
    <t xml:space="preserve">Success fee per month at full capture ($)</t>
  </si>
  <si>
    <t xml:space="preserve">Total cost to broker per month ($)</t>
  </si>
  <si>
    <t xml:space="preserve">Total as % of expected commission</t>
  </si>
  <si>
    <t xml:space="preserve">Customer ROI on time saved, after both fees</t>
  </si>
  <si>
    <t xml:space="preserve">Regulatory note: a fee based on a share of loan commissions can make the platform look like a broker/finder under some state lending laws (e.g. California Financing Law). Confirm the structure with regulatory counsel before launch.</t>
  </si>
  <si>
    <t xml:space="preserve">AI and document-processing unit costs</t>
  </si>
  <si>
    <t xml:space="preserve">Claude API list prices (USD per million tokens), Anthropic first-party, Oct 2026. Bedrock pricing may differ.</t>
  </si>
  <si>
    <t xml:space="preserve">Model prices ($ per 1M tokens)</t>
  </si>
  <si>
    <t xml:space="preserve">Claude Opus 5.5 - input</t>
  </si>
  <si>
    <t xml:space="preserve">Claude Opus 5.5 - output</t>
  </si>
  <si>
    <t xml:space="preserve">Claude Opus 5.5 - cache read</t>
  </si>
  <si>
    <t xml:space="preserve">Claude Sonnet 5.5 - input</t>
  </si>
  <si>
    <t xml:space="preserve">Claude Sonnet 5.5 - output</t>
  </si>
  <si>
    <t xml:space="preserve">Claude Sonnet 5.5 - cache read</t>
  </si>
  <si>
    <t xml:space="preserve">Claude Haiku 5.5 - input (prompts &lt;=100K)</t>
  </si>
  <si>
    <t xml:space="preserve">Claude Haiku 5.5 - output (prompts &lt;=100K)</t>
  </si>
  <si>
    <t xml:space="preserve">Cache write premium (x input price)</t>
  </si>
  <si>
    <t xml:space="preserve">Per deal: document extraction (Haiku 5.5)</t>
  </si>
  <si>
    <t xml:space="preserve">Pages per loan package</t>
  </si>
  <si>
    <t xml:space="preserve">Tokens per page</t>
  </si>
  <si>
    <t xml:space="preserve">Structured output tokens per deal</t>
  </si>
  <si>
    <t xml:space="preserve">Extraction cost per deal ($)</t>
  </si>
  <si>
    <t xml:space="preserve">Per deal: underwriting analysis, workbook and memo (Opus 5.5)</t>
  </si>
  <si>
    <t xml:space="preserve">Agent turns per deal</t>
  </si>
  <si>
    <t xml:space="preserve">Average context per turn (tokens)</t>
  </si>
  <si>
    <t xml:space="preserve">Share of input served from prompt cache</t>
  </si>
  <si>
    <t xml:space="preserve">Output + thinking tokens per deal</t>
  </si>
  <si>
    <t xml:space="preserve">Analysis cost per deal ($)</t>
  </si>
  <si>
    <t xml:space="preserve">Per deal: OCR for scanned pages (AWS Textract)</t>
  </si>
  <si>
    <t xml:space="preserve">Share of pages needing OCR</t>
  </si>
  <si>
    <t xml:space="preserve">OCR price per page ($)</t>
  </si>
  <si>
    <t xml:space="preserve">OCR cost per deal ($)</t>
  </si>
  <si>
    <t xml:space="preserve">Per seat: everyday assistant work (Sonnet 5.5)</t>
  </si>
  <si>
    <t xml:space="preserve">Assistant sessions per seat per month</t>
  </si>
  <si>
    <t xml:space="preserve">Input tokens per session</t>
  </si>
  <si>
    <t xml:space="preserve">Output tokens per session</t>
  </si>
  <si>
    <t xml:space="preserve">Assistant cost per seat per month ($)</t>
  </si>
  <si>
    <t xml:space="preserve">Overheads</t>
  </si>
  <si>
    <t xml:space="preserve">Buffer for retries, evals, long documents</t>
  </si>
  <si>
    <t xml:space="preserve">AI cost per deal incl. buffer ($)</t>
  </si>
  <si>
    <t xml:space="preserve">AI assistant cost per seat incl. buffer ($)</t>
  </si>
  <si>
    <t xml:space="preserve">Remote servers and operations tooling (monthly, production baseline)</t>
  </si>
  <si>
    <t xml:space="preserve">AWS us-east-1 primary, us-west-2 DR. Matches infra/terraform. Estimates at list price.</t>
  </si>
  <si>
    <t xml:space="preserve">AWS line item</t>
  </si>
  <si>
    <t xml:space="preserve">$ / month</t>
  </si>
  <si>
    <t xml:space="preserve">Note</t>
  </si>
  <si>
    <t xml:space="preserve">ECS Fargate - API (3 x 1 vCPU / 2 GB, ARM)</t>
  </si>
  <si>
    <t xml:space="preserve">Graviton Fargate ~$30/task-month.</t>
  </si>
  <si>
    <t xml:space="preserve">ECS Fargate - workers (4 x 2 vCPU / 4 GB, ARM)</t>
  </si>
  <si>
    <t xml:space="preserve">Autoscale 4-20 tasks.</t>
  </si>
  <si>
    <t xml:space="preserve">RDS PostgreSQL Multi-AZ db.r6g.large + 200 GB gp3</t>
  </si>
  <si>
    <t xml:space="preserve">Encrypted, 35-day PITR.</t>
  </si>
  <si>
    <t xml:space="preserve">NAT gateways (3 AZ) + data processing</t>
  </si>
  <si>
    <t xml:space="preserve">$0.045/hr each + $0.045/GB.</t>
  </si>
  <si>
    <t xml:space="preserve">Interface VPC endpoints (8 services x 3 AZ)</t>
  </si>
  <si>
    <t xml:space="preserve">~$7.30 per endpoint per AZ.</t>
  </si>
  <si>
    <t xml:space="preserve">Application Load Balancer + WAF</t>
  </si>
  <si>
    <t xml:space="preserve">WAF $5/ACL + $1/rule + requests.</t>
  </si>
  <si>
    <t xml:space="preserve">S3 documents + DR replica + audit (Object Lock)</t>
  </si>
  <si>
    <t xml:space="preserve">Grows with tenants.</t>
  </si>
  <si>
    <t xml:space="preserve">KMS platform keys + API requests</t>
  </si>
  <si>
    <t xml:space="preserve">Per-tenant keys are in variable costs.</t>
  </si>
  <si>
    <t xml:space="preserve">CloudTrail data events, GuardDuty, Security Hub, Inspector</t>
  </si>
  <si>
    <t xml:space="preserve">Security monitoring.</t>
  </si>
  <si>
    <t xml:space="preserve">CloudWatch logs and metrics (400-day retention)</t>
  </si>
  <si>
    <t xml:space="preserve">AWS Backup + cross-region RDS backup copies</t>
  </si>
  <si>
    <t xml:space="preserve">DR region us-west-2.</t>
  </si>
  <si>
    <t xml:space="preserve">Staging environment (2 AZ, single-AZ DB)</t>
  </si>
  <si>
    <t xml:space="preserve">AWS Business Support</t>
  </si>
  <si>
    <t xml:space="preserve">Greater of $100 or ~10% of spend.</t>
  </si>
  <si>
    <t xml:space="preserve">Hosting baseline total</t>
  </si>
  <si>
    <t xml:space="preserve">Security and operations SaaS</t>
  </si>
  <si>
    <t xml:space="preserve">Full / lean</t>
  </si>
  <si>
    <t xml:space="preserve">Very lean</t>
  </si>
  <si>
    <t xml:space="preserve">Compliance automation (Vanta / Drata)</t>
  </si>
  <si>
    <t xml:space="preserve">~$12k/yr; startup pricing lower.</t>
  </si>
  <si>
    <t xml:space="preserve">Observability / SIEM (e.g. Datadog)</t>
  </si>
  <si>
    <t xml:space="preserve">Very lean: CloudWatch + free tiers.</t>
  </si>
  <si>
    <t xml:space="preserve">Single sign-on (e.g. WorkOS) for brokerage-firm accounts</t>
  </si>
  <si>
    <t xml:space="preserve">Add when firms sign.</t>
  </si>
  <si>
    <t xml:space="preserve">Support desk + in-app chat (Intercom / Zendesk)</t>
  </si>
  <si>
    <t xml:space="preserve">Source control, CI/CD, code + dependency scanning</t>
  </si>
  <si>
    <t xml:space="preserve">Endpoint management (MDM) + password manager</t>
  </si>
  <si>
    <t xml:space="preserve">Laptops are in scope for SOC 2.</t>
  </si>
  <si>
    <t xml:space="preserve">E-signature, email, productivity suite</t>
  </si>
  <si>
    <t xml:space="preserve">SaaS tooling total</t>
  </si>
  <si>
    <t xml:space="preserve">Team plans (loaded monthly cost = salary x ~1.25 / 12)</t>
  </si>
  <si>
    <t xml:space="preserve">Pick the plan in Assumptions. Start month 99 = not hired within 36 months.</t>
  </si>
  <si>
    <t xml:space="preserve">Role</t>
  </si>
  <si>
    <t xml:space="preserve">Full: $/mo</t>
  </si>
  <si>
    <t xml:space="preserve">Full: start</t>
  </si>
  <si>
    <t xml:space="preserve">Lean: $/mo</t>
  </si>
  <si>
    <t xml:space="preserve">Lean: start</t>
  </si>
  <si>
    <t xml:space="preserve">Very lean: $/mo</t>
  </si>
  <si>
    <t xml:space="preserve">Very lean: start</t>
  </si>
  <si>
    <t xml:space="preserve">Founder / CEO</t>
  </si>
  <si>
    <t xml:space="preserve">Lean: unpaid for 12 months. Very lean: unpaid for 24 months; also sells and supports.</t>
  </si>
  <si>
    <t xml:space="preserve">Founding AI / full-stack engineer</t>
  </si>
  <si>
    <t xml:space="preserve">~$210k x 1.25 burden. Very lean: the only engineer until month 19.</t>
  </si>
  <si>
    <t xml:space="preserve">Full-stack engineer</t>
  </si>
  <si>
    <t xml:space="preserve">Commercial lending SME / product lead</t>
  </si>
  <si>
    <t xml:space="preserve">Ex-broker or credit officer; builds package templates, grades agent output. Lean: half-time. Very lean: about one day a week.</t>
  </si>
  <si>
    <t xml:space="preserve">DevSecOps / security engineer</t>
  </si>
  <si>
    <t xml:space="preserve">Owns SOC 2 controls + infra. Lean/very lean: fractional contractor.</t>
  </si>
  <si>
    <t xml:space="preserve">Account executive (base + commission)</t>
  </si>
  <si>
    <t xml:space="preserve">Very lean: founder sells.</t>
  </si>
  <si>
    <t xml:space="preserve">Marketing manager</t>
  </si>
  <si>
    <t xml:space="preserve">Engineer #3</t>
  </si>
  <si>
    <t xml:space="preserve">Compliance &amp; operations manager</t>
  </si>
  <si>
    <t xml:space="preserve">Security questionnaires, audits.</t>
  </si>
  <si>
    <t xml:space="preserve">Account executive #2</t>
  </si>
  <si>
    <t xml:space="preserve">Engineer #4</t>
  </si>
  <si>
    <t xml:space="preserve">One-time setup costs</t>
  </si>
  <si>
    <t xml:space="preserve">Month = when the cost is paid. Estimates; get quotes.</t>
  </si>
  <si>
    <t xml:space="preserve">Item</t>
  </si>
  <si>
    <t xml:space="preserve">Full / lean ($)</t>
  </si>
  <si>
    <t xml:space="preserve">Month</t>
  </si>
  <si>
    <t xml:space="preserve">Very lean ($)</t>
  </si>
  <si>
    <t xml:space="preserve">Entity formation, founder/IP agreements, cap table</t>
  </si>
  <si>
    <t xml:space="preserve">Regulatory counsel: licensing (incl. success-fee structure), ECOA/Reg B, UPL, state law</t>
  </si>
  <si>
    <t xml:space="preserve">Terms of service, DPA, privacy policy, AI-use disclosures, MSA template</t>
  </si>
  <si>
    <t xml:space="preserve">Trademark search and filing</t>
  </si>
  <si>
    <t xml:space="preserve">Brand, website, product design system</t>
  </si>
  <si>
    <t xml:space="preserve">Lending template library: package, spreading, broker profiles (SME time)</t>
  </si>
  <si>
    <t xml:space="preserve">Evaluation dataset: synthetic loan packages + expert grading</t>
  </si>
  <si>
    <t xml:space="preserve">Laptops and equipment (5 full / 2 very lean)</t>
  </si>
  <si>
    <t xml:space="preserve">SOC 2 readiness consultant (very lean: self-serve via compliance software)</t>
  </si>
  <si>
    <t xml:space="preserve">SOC 2 Type I audit</t>
  </si>
  <si>
    <t xml:space="preserve">Independent penetration test before launch</t>
  </si>
  <si>
    <t xml:space="preserve">Launch marketing: conferences, association sponsorships, collateral</t>
  </si>
  <si>
    <t xml:space="preserve">Contingency (% of items above)</t>
  </si>
  <si>
    <t xml:space="preserve">Total one-time setup</t>
  </si>
  <si>
    <t xml:space="preserve">36-month operating model ($)</t>
  </si>
  <si>
    <t xml:space="preserve">All cells are formulas over the input sheets.</t>
  </si>
  <si>
    <t xml:space="preserve">Year</t>
  </si>
  <si>
    <t xml:space="preserve">Live (1 = selling)</t>
  </si>
  <si>
    <t xml:space="preserve">Beginning accounts</t>
  </si>
  <si>
    <t xml:space="preserve">New accounts</t>
  </si>
  <si>
    <t xml:space="preserve">Churned accounts</t>
  </si>
  <si>
    <t xml:space="preserve">Ending accounts</t>
  </si>
  <si>
    <t xml:space="preserve">Seats</t>
  </si>
  <si>
    <t xml:space="preserve">Subscription revenue</t>
  </si>
  <si>
    <t xml:space="preserve">Onboarding fees</t>
  </si>
  <si>
    <t xml:space="preserve">Success fees (share of broker commission)</t>
  </si>
  <si>
    <t xml:space="preserve">Total revenue</t>
  </si>
  <si>
    <t xml:space="preserve">AI model usage (Claude)</t>
  </si>
  <si>
    <t xml:space="preserve">Document OCR</t>
  </si>
  <si>
    <t xml:space="preserve">Hosting baseline (servers)</t>
  </si>
  <si>
    <t xml:space="preserve">Hosting variable + tenant keys</t>
  </si>
  <si>
    <t xml:space="preserve">Payment processing</t>
  </si>
  <si>
    <t xml:space="preserve">Customer support staff</t>
  </si>
  <si>
    <t xml:space="preserve">Total cost of revenue</t>
  </si>
  <si>
    <t xml:space="preserve">Gross profit</t>
  </si>
  <si>
    <t xml:space="preserve">Gross margin %</t>
  </si>
  <si>
    <t xml:space="preserve">Payroll (product, engineering, sales, G&amp;A)</t>
  </si>
  <si>
    <t xml:space="preserve">Sales &amp; marketing (CAC + base)</t>
  </si>
  <si>
    <t xml:space="preserve">Security &amp; operations SaaS</t>
  </si>
  <si>
    <t xml:space="preserve">Insurance</t>
  </si>
  <si>
    <t xml:space="preserve">Professional services</t>
  </si>
  <si>
    <t xml:space="preserve">Recurring compliance (SOC 2 Type II, pen tests)</t>
  </si>
  <si>
    <t xml:space="preserve">Other G&amp;A</t>
  </si>
  <si>
    <t xml:space="preserve">Total operating expenses</t>
  </si>
  <si>
    <t xml:space="preserve">EBITDA (monthly profit / loss)</t>
  </si>
  <si>
    <t xml:space="preserve">Cumulative cash flow</t>
  </si>
  <si>
    <t xml:space="preserve">Total costs (COGS + opex)</t>
  </si>
  <si>
    <t xml:space="preserve">helper: month if EBITDA-positive</t>
  </si>
  <si>
    <t xml:space="preserve">helper: month if cumulative cash recovered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</si>
</sst>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#,##0;\(#,##0\);\-"/>
    <numFmt numFmtId="167" formatCode="\$#,##0.00;&quot;($&quot;#,##0.00\);\-"/>
    <numFmt numFmtId="168" formatCode="#,##0.0;\(#,##0.0\);\-"/>
    <numFmt numFmtId="169" formatCode="0.0\x"/>
    <numFmt numFmtId="170" formatCode="0.0%;\(0.0%\);\-"/>
    <numFmt numFmtId="171" formatCode="0.00%"/>
    <numFmt numFmtId="172" formatCode="\$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vs. total costs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Monthly!B17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Monthly!$C$17:$AL$17</c:f>
              <c:numCache>
                <c:formatCode>\$#,##0;"($"#,##0\);\-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2918</c:v>
                </c:pt>
                <c:pt idx="9">
                  <c:v>5137.6</c:v>
                </c:pt>
                <c:pt idx="10">
                  <c:v>7359.8262</c:v>
                </c:pt>
                <c:pt idx="11">
                  <c:v>13719.17624</c:v>
                </c:pt>
                <c:pt idx="12">
                  <c:v>20085.15012358</c:v>
                </c:pt>
                <c:pt idx="13">
                  <c:v>26463.471265776</c:v>
                </c:pt>
                <c:pt idx="14">
                  <c:v>32859.8690430832</c:v>
                </c:pt>
                <c:pt idx="15">
                  <c:v>39280.0839445296</c:v>
                </c:pt>
                <c:pt idx="16">
                  <c:v>45729.8727281148</c:v>
                </c:pt>
                <c:pt idx="17">
                  <c:v>52215.0135872501</c:v>
                </c:pt>
                <c:pt idx="18">
                  <c:v>58741.3113318407</c:v>
                </c:pt>
                <c:pt idx="19">
                  <c:v>65314.6025886598</c:v>
                </c:pt>
                <c:pt idx="20">
                  <c:v>71940.7610256775</c:v>
                </c:pt>
                <c:pt idx="21">
                  <c:v>78625.7026050251</c:v>
                </c:pt>
                <c:pt idx="22">
                  <c:v>85375.3908692958</c:v>
                </c:pt>
                <c:pt idx="23">
                  <c:v>92195.842265911</c:v>
                </c:pt>
                <c:pt idx="24">
                  <c:v>99093.1315143085</c:v>
                </c:pt>
                <c:pt idx="25">
                  <c:v>106073.397020745</c:v>
                </c:pt>
                <c:pt idx="26">
                  <c:v>113142.846345545</c:v>
                </c:pt>
                <c:pt idx="27">
                  <c:v>120307.761727664</c:v>
                </c:pt>
                <c:pt idx="28">
                  <c:v>127574.505671493</c:v>
                </c:pt>
                <c:pt idx="29">
                  <c:v>134949.526600877</c:v>
                </c:pt>
                <c:pt idx="30">
                  <c:v>142439.364585366</c:v>
                </c:pt>
                <c:pt idx="31">
                  <c:v>150050.657143795</c:v>
                </c:pt>
                <c:pt idx="32">
                  <c:v>157790.145130352</c:v>
                </c:pt>
                <c:pt idx="33">
                  <c:v>165664.678708337</c:v>
                </c:pt>
                <c:pt idx="34">
                  <c:v>173681.22341694</c:v>
                </c:pt>
                <c:pt idx="35">
                  <c:v>181846.866336381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Monthly!B41</c:f>
              <c:strCache>
                <c:ptCount val="1"/>
                <c:pt idx="0">
                  <c:v>Total costs (COGS + opex)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Monthly!$C$41:$AL$41</c:f>
              <c:numCache>
                <c:formatCode>\$#,##0;"($"#,##0\);\-</c:formatCode>
                <c:ptCount val="36"/>
                <c:pt idx="0">
                  <c:v>80105</c:v>
                </c:pt>
                <c:pt idx="1">
                  <c:v>48480</c:v>
                </c:pt>
                <c:pt idx="2">
                  <c:v>40980</c:v>
                </c:pt>
                <c:pt idx="3">
                  <c:v>40980</c:v>
                </c:pt>
                <c:pt idx="4">
                  <c:v>35980</c:v>
                </c:pt>
                <c:pt idx="5">
                  <c:v>63980</c:v>
                </c:pt>
                <c:pt idx="6">
                  <c:v>37480</c:v>
                </c:pt>
                <c:pt idx="7">
                  <c:v>39250</c:v>
                </c:pt>
                <c:pt idx="8">
                  <c:v>44692.7224</c:v>
                </c:pt>
                <c:pt idx="9">
                  <c:v>45265.1912</c:v>
                </c:pt>
                <c:pt idx="10">
                  <c:v>45842.55845016</c:v>
                </c:pt>
                <c:pt idx="11">
                  <c:v>46545.1818724</c:v>
                </c:pt>
                <c:pt idx="12">
                  <c:v>50753.7385972451</c:v>
                </c:pt>
                <c:pt idx="13">
                  <c:v>51468.8609857755</c:v>
                </c:pt>
                <c:pt idx="14">
                  <c:v>52191.1867390433</c:v>
                </c:pt>
                <c:pt idx="15">
                  <c:v>52921.3594671983</c:v>
                </c:pt>
                <c:pt idx="16">
                  <c:v>53660.0292634185</c:v>
                </c:pt>
                <c:pt idx="17">
                  <c:v>54407.8532831591</c:v>
                </c:pt>
                <c:pt idx="18">
                  <c:v>73165.4963292368</c:v>
                </c:pt>
                <c:pt idx="19">
                  <c:v>73933.6314432694</c:v>
                </c:pt>
                <c:pt idx="20">
                  <c:v>83212.9405039983</c:v>
                </c:pt>
                <c:pt idx="21">
                  <c:v>84004.1148330261</c:v>
                </c:pt>
                <c:pt idx="22">
                  <c:v>84807.8558085075</c:v>
                </c:pt>
                <c:pt idx="23">
                  <c:v>85624.8754873386</c:v>
                </c:pt>
                <c:pt idx="24">
                  <c:v>98955.8972363974</c:v>
                </c:pt>
                <c:pt idx="25">
                  <c:v>99801.6563733948</c:v>
                </c:pt>
                <c:pt idx="26">
                  <c:v>100662.900817905</c:v>
                </c:pt>
                <c:pt idx="27">
                  <c:v>101540.391753151</c:v>
                </c:pt>
                <c:pt idx="28">
                  <c:v>102434.904299134</c:v>
                </c:pt>
                <c:pt idx="29">
                  <c:v>103347.228197694</c:v>
                </c:pt>
                <c:pt idx="30">
                  <c:v>104278.168510123</c:v>
                </c:pt>
                <c:pt idx="31">
                  <c:v>113728.54632793</c:v>
                </c:pt>
                <c:pt idx="32">
                  <c:v>114699.199497397</c:v>
                </c:pt>
                <c:pt idx="33">
                  <c:v>115690.983358558</c:v>
                </c:pt>
                <c:pt idx="34">
                  <c:v>116704.771499268</c:v>
                </c:pt>
                <c:pt idx="35">
                  <c:v>117741.456524999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804848"/>
        <c:axId val="50736217"/>
      </c:lineChart>
      <c:catAx>
        <c:axId val="93804848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36217"/>
        <c:crosses val="autoZero"/>
        <c:auto val="1"/>
        <c:lblAlgn val="ctr"/>
        <c:lblOffset val="100"/>
        <c:noMultiLvlLbl val="0"/>
      </c:catAx>
      <c:valAx>
        <c:axId val="507362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048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Monthly!B40</c:f>
              <c:strCache>
                <c:ptCount val="1"/>
                <c:pt idx="0">
                  <c:v>Cumulative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Monthly!$C$40:$AL$40</c:f>
              <c:numCache>
                <c:formatCode>\$#,##0;"($"#,##0\);\-</c:formatCode>
                <c:ptCount val="36"/>
                <c:pt idx="0">
                  <c:v>-80105</c:v>
                </c:pt>
                <c:pt idx="1">
                  <c:v>-128585</c:v>
                </c:pt>
                <c:pt idx="2">
                  <c:v>-169565</c:v>
                </c:pt>
                <c:pt idx="3">
                  <c:v>-210545</c:v>
                </c:pt>
                <c:pt idx="4">
                  <c:v>-246525</c:v>
                </c:pt>
                <c:pt idx="5">
                  <c:v>-310505</c:v>
                </c:pt>
                <c:pt idx="6">
                  <c:v>-347985</c:v>
                </c:pt>
                <c:pt idx="7">
                  <c:v>-387235</c:v>
                </c:pt>
                <c:pt idx="8">
                  <c:v>-429009.7224</c:v>
                </c:pt>
                <c:pt idx="9">
                  <c:v>-469137.3136</c:v>
                </c:pt>
                <c:pt idx="10">
                  <c:v>-507620.04585016</c:v>
                </c:pt>
                <c:pt idx="11">
                  <c:v>-540446.05148256</c:v>
                </c:pt>
                <c:pt idx="12">
                  <c:v>-571114.639956225</c:v>
                </c:pt>
                <c:pt idx="13">
                  <c:v>-596120.029676225</c:v>
                </c:pt>
                <c:pt idx="14">
                  <c:v>-615451.347372185</c:v>
                </c:pt>
                <c:pt idx="15">
                  <c:v>-629092.622894853</c:v>
                </c:pt>
                <c:pt idx="16">
                  <c:v>-637022.779430157</c:v>
                </c:pt>
                <c:pt idx="17">
                  <c:v>-639215.619126066</c:v>
                </c:pt>
                <c:pt idx="18">
                  <c:v>-653639.804123462</c:v>
                </c:pt>
                <c:pt idx="19">
                  <c:v>-662258.832978072</c:v>
                </c:pt>
                <c:pt idx="20">
                  <c:v>-673531.012456392</c:v>
                </c:pt>
                <c:pt idx="21">
                  <c:v>-678909.424684393</c:v>
                </c:pt>
                <c:pt idx="22">
                  <c:v>-678341.889623605</c:v>
                </c:pt>
                <c:pt idx="23">
                  <c:v>-671770.922845033</c:v>
                </c:pt>
                <c:pt idx="24">
                  <c:v>-671633.688567122</c:v>
                </c:pt>
                <c:pt idx="25">
                  <c:v>-665361.947919771</c:v>
                </c:pt>
                <c:pt idx="26">
                  <c:v>-652882.002392131</c:v>
                </c:pt>
                <c:pt idx="27">
                  <c:v>-634114.632417618</c:v>
                </c:pt>
                <c:pt idx="28">
                  <c:v>-608975.031045259</c:v>
                </c:pt>
                <c:pt idx="29">
                  <c:v>-577372.732642075</c:v>
                </c:pt>
                <c:pt idx="30">
                  <c:v>-539211.536566833</c:v>
                </c:pt>
                <c:pt idx="31">
                  <c:v>-502889.425750967</c:v>
                </c:pt>
                <c:pt idx="32">
                  <c:v>-459798.480118012</c:v>
                </c:pt>
                <c:pt idx="33">
                  <c:v>-409824.784768233</c:v>
                </c:pt>
                <c:pt idx="34">
                  <c:v>-352848.332850561</c:v>
                </c:pt>
                <c:pt idx="35">
                  <c:v>-288742.923039179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908950"/>
        <c:axId val="29627032"/>
      </c:lineChart>
      <c:catAx>
        <c:axId val="93908950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27032"/>
        <c:crosses val="autoZero"/>
        <c:auto val="1"/>
        <c:lblAlgn val="ctr"/>
        <c:lblOffset val="100"/>
        <c:noMultiLvlLbl val="0"/>
      </c:catAx>
      <c:valAx>
        <c:axId val="296270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089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160920</xdr:rowOff>
    </xdr:from>
    <xdr:to>
      <xdr:col>14</xdr:col>
      <xdr:colOff>364680</xdr:colOff>
      <xdr:row>18</xdr:row>
      <xdr:rowOff>182880</xdr:rowOff>
    </xdr:to>
    <xdr:graphicFrame>
      <xdr:nvGraphicFramePr>
        <xdr:cNvPr id="0" name="Chart 1"/>
        <xdr:cNvGraphicFramePr/>
      </xdr:nvGraphicFramePr>
      <xdr:xfrm>
        <a:off x="71438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21</xdr:row>
      <xdr:rowOff>160920</xdr:rowOff>
    </xdr:from>
    <xdr:to>
      <xdr:col>14</xdr:col>
      <xdr:colOff>364680</xdr:colOff>
      <xdr:row>36</xdr:row>
      <xdr:rowOff>182880</xdr:rowOff>
    </xdr:to>
    <xdr:graphicFrame>
      <xdr:nvGraphicFramePr>
        <xdr:cNvPr id="1" name="Chart 2"/>
        <xdr:cNvGraphicFramePr/>
      </xdr:nvGraphicFramePr>
      <xdr:xfrm>
        <a:off x="7143840" y="4191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3" t="s">
        <v>9</v>
      </c>
    </row>
    <row r="3" customFormat="false" ht="15" hidden="false" customHeight="false" outlineLevel="0" collapsed="false">
      <c r="A3" s="2" t="s">
        <v>10</v>
      </c>
      <c r="C3" s="4" t="str">
        <f aca="false">Assumptions!$G$3</f>
        <v>Slow</v>
      </c>
      <c r="D3" s="2" t="str">
        <f aca="false">CHOOSE(Assumptions!$F$34,"Full team","Lean team","Very lean team")</f>
        <v>Very lean team</v>
      </c>
    </row>
    <row r="5" customFormat="false" ht="15" hidden="false" customHeight="false" outlineLevel="0" collapsed="false">
      <c r="A5" s="5" t="s">
        <v>11</v>
      </c>
    </row>
    <row r="6" customFormat="false" ht="15" hidden="false" customHeight="false" outlineLevel="0" collapsed="false">
      <c r="A6" s="2" t="s">
        <v>12</v>
      </c>
      <c r="C6" s="6" t="n">
        <f aca="false">IF(Assumptions!$F$34=3,Setup!$E$18,Setup!$C$18)</f>
        <v>100625</v>
      </c>
    </row>
    <row r="7" customFormat="false" ht="15" hidden="false" customHeight="false" outlineLevel="0" collapsed="false">
      <c r="A7" s="2" t="s">
        <v>13</v>
      </c>
      <c r="C7" s="6" t="n">
        <f aca="false">SUMPRODUCT((Monthly!$C$4:$AL$4&lt;Assumptions!$F$7)*Monthly!$C$41:$AL$41)</f>
        <v>387235</v>
      </c>
    </row>
    <row r="8" customFormat="false" ht="15" hidden="false" customHeight="false" outlineLevel="0" collapsed="false">
      <c r="A8" s="2" t="s">
        <v>14</v>
      </c>
      <c r="C8" s="7" t="n">
        <f aca="false">MAX(0,-MIN(Monthly!$C$40:$AL$40))</f>
        <v>678909.424684393</v>
      </c>
    </row>
    <row r="9" customFormat="false" ht="15" hidden="false" customHeight="false" outlineLevel="0" collapsed="false">
      <c r="A9" s="2" t="s">
        <v>15</v>
      </c>
      <c r="C9" s="8" t="n">
        <f aca="false">INDEX(Monthly!$C$4:$AL$4,MATCH(MIN(Monthly!$C$40:$AL$40),Monthly!$C$40:$AL$40,0))</f>
        <v>22</v>
      </c>
    </row>
    <row r="10" customFormat="false" ht="15" hidden="false" customHeight="false" outlineLevel="0" collapsed="false">
      <c r="A10" s="2" t="s">
        <v>16</v>
      </c>
      <c r="C10" s="7" t="n">
        <f aca="false">C8*1.25</f>
        <v>848636.780855492</v>
      </c>
    </row>
    <row r="11" customFormat="false" ht="15" hidden="false" customHeight="false" outlineLevel="0" collapsed="false">
      <c r="A11" s="5" t="s">
        <v>17</v>
      </c>
    </row>
    <row r="12" customFormat="false" ht="15" hidden="false" customHeight="false" outlineLevel="0" collapsed="false">
      <c r="A12" s="2" t="s">
        <v>18</v>
      </c>
      <c r="C12" s="6" t="n">
        <f aca="false">Infrastructure!$C$18</f>
        <v>2950</v>
      </c>
    </row>
    <row r="13" customFormat="false" ht="15" hidden="false" customHeight="false" outlineLevel="0" collapsed="false">
      <c r="A13" s="2" t="s">
        <v>19</v>
      </c>
      <c r="C13" s="6" t="n">
        <f aca="false">IF(Assumptions!$F$34=3,Infrastructure!$E$28,Infrastructure!$C$28)</f>
        <v>1300</v>
      </c>
    </row>
    <row r="14" customFormat="false" ht="15" hidden="false" customHeight="false" outlineLevel="0" collapsed="false">
      <c r="A14" s="2" t="s">
        <v>20</v>
      </c>
      <c r="C14" s="6" t="n">
        <f aca="false">INDEX(Monthly!$C$41:$AL$41,12)</f>
        <v>46545.1818724</v>
      </c>
    </row>
    <row r="15" customFormat="false" ht="15" hidden="false" customHeight="false" outlineLevel="0" collapsed="false">
      <c r="A15" s="2" t="s">
        <v>21</v>
      </c>
      <c r="C15" s="6" t="n">
        <f aca="false">INDEX(Monthly!$C$41:$AL$41,36)</f>
        <v>117741.456524999</v>
      </c>
    </row>
    <row r="16" customFormat="false" ht="15" hidden="false" customHeight="false" outlineLevel="0" collapsed="false">
      <c r="A16" s="5" t="s">
        <v>22</v>
      </c>
    </row>
    <row r="17" customFormat="false" ht="15" hidden="false" customHeight="false" outlineLevel="0" collapsed="false">
      <c r="A17" s="2" t="s">
        <v>23</v>
      </c>
      <c r="C17" s="6" t="n">
        <f aca="false">Pricing!$C$26</f>
        <v>1099</v>
      </c>
    </row>
    <row r="18" customFormat="false" ht="15" hidden="false" customHeight="false" outlineLevel="0" collapsed="false">
      <c r="A18" s="2" t="s">
        <v>24</v>
      </c>
      <c r="C18" s="6" t="n">
        <f aca="false">Pricing!$C$29*Assumptions!$F$38*Assumptions!$F$37</f>
        <v>2066.25</v>
      </c>
    </row>
    <row r="19" customFormat="false" ht="15" hidden="false" customHeight="false" outlineLevel="0" collapsed="false">
      <c r="A19" s="2" t="s">
        <v>25</v>
      </c>
      <c r="C19" s="6" t="n">
        <f aca="false">Pricing!$C$27*(Assumptions!$F$18*(UnitCosts!$C$36+UnitCosts!$C$28)+UnitCosts!$C$37+Assumptions!$F$27)+Assumptions!$F$28</f>
        <v>179.0502</v>
      </c>
    </row>
    <row r="20" customFormat="false" ht="15" hidden="false" customHeight="false" outlineLevel="0" collapsed="false">
      <c r="A20" s="2" t="s">
        <v>26</v>
      </c>
      <c r="C20" s="9" t="n">
        <f aca="false">UnitCosts!$C$36</f>
        <v>5.521875</v>
      </c>
    </row>
    <row r="21" customFormat="false" ht="15" hidden="false" customHeight="false" outlineLevel="0" collapsed="false">
      <c r="A21" s="2" t="s">
        <v>27</v>
      </c>
      <c r="C21" s="6" t="n">
        <f aca="false">(C17+C18)*(1-Assumptions!$F$26)-C19</f>
        <v>2894.40755</v>
      </c>
    </row>
    <row r="22" customFormat="false" ht="15" hidden="false" customHeight="false" outlineLevel="0" collapsed="false">
      <c r="A22" s="2" t="s">
        <v>28</v>
      </c>
      <c r="C22" s="10" t="n">
        <f aca="false">1/Assumptions!$F$12</f>
        <v>33.3333333333333</v>
      </c>
    </row>
    <row r="23" customFormat="false" ht="15" hidden="false" customHeight="false" outlineLevel="0" collapsed="false">
      <c r="A23" s="2" t="s">
        <v>29</v>
      </c>
      <c r="C23" s="6" t="n">
        <f aca="false">C21*C22</f>
        <v>96480.2516666667</v>
      </c>
    </row>
    <row r="24" customFormat="false" ht="15" hidden="false" customHeight="false" outlineLevel="0" collapsed="false">
      <c r="A24" s="2" t="s">
        <v>30</v>
      </c>
      <c r="C24" s="6" t="n">
        <f aca="false">Assumptions!$F$21</f>
        <v>2500</v>
      </c>
    </row>
    <row r="25" customFormat="false" ht="15" hidden="false" customHeight="false" outlineLevel="0" collapsed="false">
      <c r="A25" s="2" t="s">
        <v>31</v>
      </c>
      <c r="C25" s="11" t="n">
        <f aca="false">IFERROR(C23/C24,0)</f>
        <v>38.5921006666667</v>
      </c>
    </row>
    <row r="26" customFormat="false" ht="15" hidden="false" customHeight="false" outlineLevel="0" collapsed="false">
      <c r="A26" s="2" t="s">
        <v>32</v>
      </c>
      <c r="C26" s="10" t="n">
        <f aca="false">IFERROR(C24/C21,0)</f>
        <v>0.863734618160459</v>
      </c>
    </row>
    <row r="27" customFormat="false" ht="15" hidden="false" customHeight="false" outlineLevel="0" collapsed="false">
      <c r="A27" s="5" t="s">
        <v>33</v>
      </c>
    </row>
    <row r="28" customFormat="false" ht="15" hidden="false" customHeight="false" outlineLevel="0" collapsed="false">
      <c r="A28" s="2" t="s">
        <v>34</v>
      </c>
      <c r="C28" s="12" t="n">
        <f aca="false">IF(MIN(Monthly!$C$43:$AL$43)=999,"Beyond month 36",MIN(Monthly!$C$43:$AL$43))</f>
        <v>23</v>
      </c>
    </row>
    <row r="29" customFormat="false" ht="15" hidden="false" customHeight="false" outlineLevel="0" collapsed="false">
      <c r="A29" s="2" t="s">
        <v>35</v>
      </c>
      <c r="C29" s="8" t="str">
        <f aca="false">IF(MIN(Monthly!$C$44:$AL$44)=999,"Beyond month 36",MIN(Monthly!$C$44:$AL$44))</f>
        <v>Beyond month 36</v>
      </c>
    </row>
    <row r="30" customFormat="false" ht="15" hidden="false" customHeight="false" outlineLevel="0" collapsed="false">
      <c r="A30" s="2" t="s">
        <v>36</v>
      </c>
      <c r="C30" s="8" t="n">
        <f aca="false">INDEX(Monthly!$C$11:$AL$11,12)</f>
        <v>8.0072</v>
      </c>
    </row>
    <row r="31" customFormat="false" ht="15" hidden="false" customHeight="false" outlineLevel="0" collapsed="false">
      <c r="A31" s="2" t="s">
        <v>37</v>
      </c>
      <c r="C31" s="8" t="n">
        <f aca="false">INDEX(Monthly!$C$11:$AL$11,24)</f>
        <v>33.0150928545367</v>
      </c>
    </row>
    <row r="32" customFormat="false" ht="15" hidden="false" customHeight="false" outlineLevel="0" collapsed="false">
      <c r="A32" s="2" t="s">
        <v>38</v>
      </c>
      <c r="C32" s="8" t="n">
        <f aca="false">INDEX(Monthly!$C$11:$AL$11,36)</f>
        <v>62.0577490189546</v>
      </c>
    </row>
    <row r="33" customFormat="false" ht="15" hidden="false" customHeight="false" outlineLevel="0" collapsed="false">
      <c r="A33" s="2" t="s">
        <v>39</v>
      </c>
      <c r="C33" s="7" t="n">
        <f aca="false">(INDEX(Monthly!$C$14:$AL$14,36)+INDEX(Monthly!$C$16:$AL$16,36))*12</f>
        <v>2162970.45902844</v>
      </c>
    </row>
    <row r="34" customFormat="false" ht="15" hidden="false" customHeight="false" outlineLevel="0" collapsed="false">
      <c r="A34" s="2" t="s">
        <v>40</v>
      </c>
      <c r="C34" s="13" t="n">
        <f aca="false">IFERROR(INDEX(Monthly!$C$16:$AL$16,36)/INDEX(Monthly!$C$17:$AL$17,36),0)</f>
        <v>0.616156188654228</v>
      </c>
    </row>
    <row r="35" customFormat="false" ht="15" hidden="false" customHeight="false" outlineLevel="0" collapsed="false">
      <c r="A35" s="5" t="s">
        <v>41</v>
      </c>
    </row>
    <row r="36" customFormat="false" ht="15" hidden="false" customHeight="false" outlineLevel="0" collapsed="false">
      <c r="A36" s="2" t="s">
        <v>42</v>
      </c>
      <c r="C36" s="6" t="n">
        <f aca="false">SUMIF(Monthly!$C$5:$AL$5,1,Monthly!$C$17:$AL$17)</f>
        <v>29134.60244</v>
      </c>
    </row>
    <row r="37" customFormat="false" ht="15" hidden="false" customHeight="false" outlineLevel="0" collapsed="false">
      <c r="A37" s="2" t="s">
        <v>43</v>
      </c>
      <c r="C37" s="6" t="n">
        <f aca="false">SUMIF(Monthly!$C$5:$AL$5,2,Monthly!$C$17:$AL$17)</f>
        <v>668827.071378744</v>
      </c>
    </row>
    <row r="38" customFormat="false" ht="15" hidden="false" customHeight="false" outlineLevel="0" collapsed="false">
      <c r="A38" s="2" t="s">
        <v>44</v>
      </c>
      <c r="C38" s="6" t="n">
        <f aca="false">SUMIF(Monthly!$C$5:$AL$5,3,Monthly!$C$17:$AL$17)</f>
        <v>1672614.1042018</v>
      </c>
    </row>
    <row r="39" customFormat="false" ht="15" hidden="false" customHeight="false" outlineLevel="0" collapsed="false">
      <c r="A39" s="2" t="s">
        <v>45</v>
      </c>
      <c r="C39" s="6" t="n">
        <f aca="false">SUMIF(Monthly!$C$5:$AL$5,1,Monthly!$C$39:$AL$39)</f>
        <v>-540446.05148256</v>
      </c>
    </row>
    <row r="40" customFormat="false" ht="15" hidden="false" customHeight="false" outlineLevel="0" collapsed="false">
      <c r="A40" s="2" t="s">
        <v>46</v>
      </c>
      <c r="C40" s="6" t="n">
        <f aca="false">SUMIF(Monthly!$C$5:$AL$5,2,Monthly!$C$39:$AL$39)</f>
        <v>-131324.871362473</v>
      </c>
    </row>
    <row r="41" customFormat="false" ht="15" hidden="false" customHeight="false" outlineLevel="0" collapsed="false">
      <c r="A41" s="2" t="s">
        <v>47</v>
      </c>
      <c r="C41" s="6" t="n">
        <f aca="false">SUMIF(Monthly!$C$5:$AL$5,3,Monthly!$C$39:$AL$39)</f>
        <v>383027.999805853</v>
      </c>
    </row>
    <row r="42" customFormat="false" ht="15" hidden="false" customHeight="false" outlineLevel="0" collapsed="false">
      <c r="A42" s="2" t="s">
        <v>48</v>
      </c>
      <c r="C42" s="13" t="n">
        <f aca="false">IFERROR(SUMIF(Monthly!$C$5:$AL$5,3,Monthly!$C$26:$AL$26)/SUMIF(Monthly!$C$5:$AL$5,3,Monthly!$C$17:$AL$17),0)</f>
        <v>0.801439018447098</v>
      </c>
    </row>
    <row r="43" customFormat="false" ht="15" hidden="false" customHeight="false" outlineLevel="0" collapsed="false">
      <c r="A43" s="5" t="s">
        <v>49</v>
      </c>
    </row>
    <row r="44" customFormat="false" ht="15" hidden="false" customHeight="false" outlineLevel="0" collapsed="false">
      <c r="A44" s="2" t="s">
        <v>50</v>
      </c>
      <c r="C44" s="13" t="n">
        <f aca="false">Pricing!$C$34</f>
        <v>0.0721777777777778</v>
      </c>
    </row>
    <row r="45" customFormat="false" ht="15" hidden="false" customHeight="false" outlineLevel="0" collapsed="false">
      <c r="A45" s="2" t="s">
        <v>51</v>
      </c>
      <c r="C45" s="13" t="n">
        <f aca="false">Pricing!$D$34</f>
        <v>0.0687375</v>
      </c>
    </row>
    <row r="46" customFormat="false" ht="15" hidden="false" customHeight="false" outlineLevel="0" collapsed="false">
      <c r="A46" s="2" t="s">
        <v>52</v>
      </c>
      <c r="C46" s="13" t="n">
        <f aca="false">Pricing!$E$34</f>
        <v>0.069995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3" style="0" width="14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3" t="s">
        <v>54</v>
      </c>
    </row>
    <row r="3" customFormat="false" ht="15" hidden="false" customHeight="false" outlineLevel="0" collapsed="false">
      <c r="A3" s="14" t="s">
        <v>55</v>
      </c>
      <c r="F3" s="15" t="n">
        <v>1</v>
      </c>
      <c r="G3" s="2" t="str">
        <f aca="false">CHOOSE($F$3,"Slow","Moderate","Faster")</f>
        <v>Slow</v>
      </c>
    </row>
    <row r="5" customFormat="false" ht="15" hidden="false" customHeight="false" outlineLevel="0" collapsed="false">
      <c r="A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5" t="s">
        <v>61</v>
      </c>
    </row>
    <row r="6" customFormat="false" ht="15" hidden="false" customHeight="false" outlineLevel="0" collapsed="false">
      <c r="A6" s="14" t="s">
        <v>62</v>
      </c>
    </row>
    <row r="7" customFormat="false" ht="15" hidden="false" customHeight="false" outlineLevel="0" collapsed="false">
      <c r="A7" s="2" t="s">
        <v>63</v>
      </c>
      <c r="C7" s="16" t="n">
        <v>9</v>
      </c>
      <c r="D7" s="16" t="n">
        <v>8</v>
      </c>
      <c r="E7" s="16" t="n">
        <v>7</v>
      </c>
      <c r="F7" s="8" t="n">
        <f aca="false">CHOOSE($F$3,C7,D7,E7)</f>
        <v>9</v>
      </c>
      <c r="G7" s="3" t="s">
        <v>64</v>
      </c>
    </row>
    <row r="8" customFormat="false" ht="15" hidden="false" customHeight="false" outlineLevel="0" collapsed="false">
      <c r="A8" s="14" t="s">
        <v>65</v>
      </c>
    </row>
    <row r="9" customFormat="false" ht="15" hidden="false" customHeight="false" outlineLevel="0" collapsed="false">
      <c r="A9" s="2" t="s">
        <v>66</v>
      </c>
      <c r="C9" s="17" t="n">
        <v>2</v>
      </c>
      <c r="D9" s="17" t="n">
        <v>4</v>
      </c>
      <c r="E9" s="17" t="n">
        <v>6</v>
      </c>
      <c r="F9" s="10" t="n">
        <f aca="false">CHOOSE($F$3,C9,D9,E9)</f>
        <v>2</v>
      </c>
      <c r="G9" s="3" t="s">
        <v>67</v>
      </c>
    </row>
    <row r="10" customFormat="false" ht="15" hidden="false" customHeight="false" outlineLevel="0" collapsed="false">
      <c r="A10" s="2" t="s">
        <v>68</v>
      </c>
      <c r="C10" s="18" t="n">
        <v>0.03</v>
      </c>
      <c r="D10" s="18" t="n">
        <v>0.05</v>
      </c>
      <c r="E10" s="18" t="n">
        <v>0.08</v>
      </c>
      <c r="F10" s="13" t="n">
        <f aca="false">CHOOSE($F$3,C10,D10,E10)</f>
        <v>0.03</v>
      </c>
      <c r="G10" s="3" t="s">
        <v>69</v>
      </c>
    </row>
    <row r="11" customFormat="false" ht="15" hidden="false" customHeight="false" outlineLevel="0" collapsed="false">
      <c r="A11" s="2" t="s">
        <v>70</v>
      </c>
      <c r="C11" s="16" t="n">
        <v>12</v>
      </c>
      <c r="D11" s="16" t="n">
        <v>40</v>
      </c>
      <c r="E11" s="16" t="n">
        <v>90</v>
      </c>
      <c r="F11" s="8" t="n">
        <f aca="false">CHOOSE($F$3,C11,D11,E11)</f>
        <v>12</v>
      </c>
      <c r="G11" s="3" t="s">
        <v>71</v>
      </c>
    </row>
    <row r="12" customFormat="false" ht="15" hidden="false" customHeight="false" outlineLevel="0" collapsed="false">
      <c r="A12" s="2" t="s">
        <v>72</v>
      </c>
      <c r="C12" s="18" t="n">
        <v>0.03</v>
      </c>
      <c r="D12" s="18" t="n">
        <v>0.03</v>
      </c>
      <c r="E12" s="18" t="n">
        <v>0.025</v>
      </c>
      <c r="F12" s="13" t="n">
        <f aca="false">CHOOSE($F$3,C12,D12,E12)</f>
        <v>0.03</v>
      </c>
      <c r="G12" s="3" t="s">
        <v>73</v>
      </c>
    </row>
    <row r="13" customFormat="false" ht="15" hidden="false" customHeight="false" outlineLevel="0" collapsed="false">
      <c r="A13" s="14" t="s">
        <v>74</v>
      </c>
    </row>
    <row r="14" customFormat="false" ht="15" hidden="false" customHeight="false" outlineLevel="0" collapsed="false">
      <c r="A14" s="2" t="s">
        <v>75</v>
      </c>
      <c r="C14" s="18" t="n">
        <v>0.6</v>
      </c>
      <c r="D14" s="18" t="n">
        <v>0.5</v>
      </c>
      <c r="E14" s="18" t="n">
        <v>0.45</v>
      </c>
      <c r="F14" s="13" t="n">
        <f aca="false">CHOOSE($F$3,C14,D14,E14)</f>
        <v>0.6</v>
      </c>
      <c r="G14" s="3" t="s">
        <v>76</v>
      </c>
    </row>
    <row r="15" customFormat="false" ht="15" hidden="false" customHeight="false" outlineLevel="0" collapsed="false">
      <c r="A15" s="2" t="s">
        <v>77</v>
      </c>
      <c r="C15" s="18" t="n">
        <v>0.32</v>
      </c>
      <c r="D15" s="18" t="n">
        <v>0.38</v>
      </c>
      <c r="E15" s="18" t="n">
        <v>0.4</v>
      </c>
      <c r="F15" s="13" t="n">
        <f aca="false">CHOOSE($F$3,C15,D15,E15)</f>
        <v>0.32</v>
      </c>
      <c r="G15" s="3" t="s">
        <v>76</v>
      </c>
    </row>
    <row r="16" customFormat="false" ht="15" hidden="false" customHeight="false" outlineLevel="0" collapsed="false">
      <c r="A16" s="2" t="s">
        <v>78</v>
      </c>
      <c r="C16" s="18" t="n">
        <v>0.08</v>
      </c>
      <c r="D16" s="18" t="n">
        <v>0.12</v>
      </c>
      <c r="E16" s="18" t="n">
        <v>0.15</v>
      </c>
      <c r="F16" s="13" t="n">
        <f aca="false">CHOOSE($F$3,C16,D16,E16)</f>
        <v>0.08</v>
      </c>
      <c r="G16" s="3" t="s">
        <v>79</v>
      </c>
    </row>
    <row r="17" customFormat="false" ht="15" hidden="false" customHeight="false" outlineLevel="0" collapsed="false">
      <c r="A17" s="14" t="s">
        <v>80</v>
      </c>
    </row>
    <row r="18" customFormat="false" ht="15" hidden="false" customHeight="false" outlineLevel="0" collapsed="false">
      <c r="A18" s="2" t="s">
        <v>81</v>
      </c>
      <c r="C18" s="17" t="n">
        <v>8</v>
      </c>
      <c r="D18" s="17" t="n">
        <v>8</v>
      </c>
      <c r="E18" s="17" t="n">
        <v>8</v>
      </c>
      <c r="F18" s="10" t="n">
        <f aca="false">CHOOSE($F$3,C18,D18,E18)</f>
        <v>8</v>
      </c>
      <c r="G18" s="3" t="s">
        <v>82</v>
      </c>
    </row>
    <row r="19" customFormat="false" ht="15" hidden="false" customHeight="false" outlineLevel="0" collapsed="false">
      <c r="A19" s="14" t="s">
        <v>83</v>
      </c>
    </row>
    <row r="20" customFormat="false" ht="15" hidden="false" customHeight="false" outlineLevel="0" collapsed="false">
      <c r="A20" s="2" t="s">
        <v>84</v>
      </c>
      <c r="C20" s="16" t="n">
        <v>50</v>
      </c>
      <c r="D20" s="16" t="n">
        <v>55</v>
      </c>
      <c r="E20" s="16" t="n">
        <v>60</v>
      </c>
      <c r="F20" s="8" t="n">
        <f aca="false">CHOOSE($F$3,C20,D20,E20)</f>
        <v>50</v>
      </c>
      <c r="G20" s="3" t="s">
        <v>85</v>
      </c>
    </row>
    <row r="21" customFormat="false" ht="15" hidden="false" customHeight="false" outlineLevel="0" collapsed="false">
      <c r="A21" s="2" t="s">
        <v>86</v>
      </c>
      <c r="C21" s="19" t="n">
        <v>2500</v>
      </c>
      <c r="D21" s="19" t="n">
        <v>4000</v>
      </c>
      <c r="E21" s="19" t="n">
        <v>4000</v>
      </c>
      <c r="F21" s="6" t="n">
        <f aca="false">CHOOSE($F$3,C21,D21,E21)</f>
        <v>2500</v>
      </c>
      <c r="G21" s="3" t="s">
        <v>87</v>
      </c>
    </row>
    <row r="23" customFormat="false" ht="15" hidden="false" customHeight="false" outlineLevel="0" collapsed="false">
      <c r="A23" s="14" t="s">
        <v>88</v>
      </c>
    </row>
    <row r="24" customFormat="false" ht="15" hidden="false" customHeight="false" outlineLevel="0" collapsed="false">
      <c r="A24" s="2" t="s">
        <v>89</v>
      </c>
      <c r="F24" s="19" t="n">
        <v>8500</v>
      </c>
      <c r="G24" s="3" t="s">
        <v>90</v>
      </c>
    </row>
    <row r="25" customFormat="false" ht="15" hidden="false" customHeight="false" outlineLevel="0" collapsed="false">
      <c r="A25" s="2" t="s">
        <v>91</v>
      </c>
      <c r="F25" s="19" t="n">
        <v>5000</v>
      </c>
      <c r="G25" s="3" t="s">
        <v>92</v>
      </c>
    </row>
    <row r="26" customFormat="false" ht="15" hidden="false" customHeight="false" outlineLevel="0" collapsed="false">
      <c r="A26" s="2" t="s">
        <v>93</v>
      </c>
      <c r="F26" s="18" t="n">
        <v>0.029</v>
      </c>
      <c r="G26" s="3" t="s">
        <v>94</v>
      </c>
    </row>
    <row r="27" customFormat="false" ht="15" hidden="false" customHeight="false" outlineLevel="0" collapsed="false">
      <c r="A27" s="2" t="s">
        <v>95</v>
      </c>
      <c r="F27" s="19" t="n">
        <v>12</v>
      </c>
      <c r="G27" s="3" t="s">
        <v>96</v>
      </c>
    </row>
    <row r="28" customFormat="false" ht="15" hidden="false" customHeight="false" outlineLevel="0" collapsed="false">
      <c r="A28" s="2" t="s">
        <v>97</v>
      </c>
      <c r="F28" s="19" t="n">
        <v>1</v>
      </c>
      <c r="G28" s="3" t="s">
        <v>98</v>
      </c>
    </row>
    <row r="29" customFormat="false" ht="15" hidden="false" customHeight="false" outlineLevel="0" collapsed="false">
      <c r="A29" s="2" t="s">
        <v>99</v>
      </c>
      <c r="F29" s="18" t="n">
        <v>0.4</v>
      </c>
      <c r="G29" s="3" t="s">
        <v>100</v>
      </c>
    </row>
    <row r="30" customFormat="false" ht="15" hidden="false" customHeight="false" outlineLevel="0" collapsed="false">
      <c r="A30" s="2" t="s">
        <v>101</v>
      </c>
      <c r="F30" s="19" t="n">
        <v>2500</v>
      </c>
      <c r="G30" s="3" t="s">
        <v>102</v>
      </c>
    </row>
    <row r="31" customFormat="false" ht="15" hidden="false" customHeight="false" outlineLevel="0" collapsed="false">
      <c r="A31" s="2" t="s">
        <v>103</v>
      </c>
      <c r="F31" s="19" t="n">
        <v>4500</v>
      </c>
      <c r="G31" s="3" t="s">
        <v>104</v>
      </c>
    </row>
    <row r="32" customFormat="false" ht="15" hidden="false" customHeight="false" outlineLevel="0" collapsed="false">
      <c r="A32" s="2" t="s">
        <v>105</v>
      </c>
      <c r="F32" s="19" t="n">
        <v>5000</v>
      </c>
      <c r="G32" s="3" t="s">
        <v>106</v>
      </c>
    </row>
    <row r="33" customFormat="false" ht="15" hidden="false" customHeight="false" outlineLevel="0" collapsed="false">
      <c r="A33" s="2" t="s">
        <v>107</v>
      </c>
      <c r="F33" s="16" t="n">
        <v>13</v>
      </c>
      <c r="G33" s="3" t="s">
        <v>108</v>
      </c>
    </row>
    <row r="34" customFormat="false" ht="15" hidden="false" customHeight="false" outlineLevel="0" collapsed="false">
      <c r="A34" s="2" t="s">
        <v>109</v>
      </c>
      <c r="F34" s="16" t="n">
        <v>3</v>
      </c>
      <c r="G34" s="3" t="s">
        <v>110</v>
      </c>
    </row>
    <row r="35" customFormat="false" ht="15" hidden="false" customHeight="false" outlineLevel="0" collapsed="false">
      <c r="A35" s="2" t="s">
        <v>111</v>
      </c>
      <c r="F35" s="19" t="n">
        <v>3000</v>
      </c>
      <c r="G35" s="3" t="s">
        <v>104</v>
      </c>
    </row>
    <row r="36" customFormat="false" ht="15" hidden="false" customHeight="false" outlineLevel="0" collapsed="false">
      <c r="A36" s="14" t="s">
        <v>112</v>
      </c>
    </row>
    <row r="37" customFormat="false" ht="15" hidden="false" customHeight="false" outlineLevel="0" collapsed="false">
      <c r="A37" s="2" t="s">
        <v>113</v>
      </c>
      <c r="F37" s="18" t="n">
        <v>0.05</v>
      </c>
      <c r="G37" s="3" t="s">
        <v>114</v>
      </c>
    </row>
    <row r="38" customFormat="false" ht="15" hidden="false" customHeight="false" outlineLevel="0" collapsed="false">
      <c r="A38" s="2" t="s">
        <v>115</v>
      </c>
      <c r="F38" s="18" t="n">
        <v>0.75</v>
      </c>
      <c r="G38" s="3" t="s">
        <v>116</v>
      </c>
    </row>
    <row r="39" customFormat="false" ht="15" hidden="false" customHeight="false" outlineLevel="0" collapsed="false">
      <c r="A39" s="2" t="s">
        <v>117</v>
      </c>
      <c r="F39" s="16" t="n">
        <v>3</v>
      </c>
      <c r="G39" s="3" t="s">
        <v>118</v>
      </c>
    </row>
    <row r="40" customFormat="false" ht="15" hidden="false" customHeight="false" outlineLevel="0" collapsed="false">
      <c r="A40" s="14" t="s">
        <v>119</v>
      </c>
    </row>
    <row r="41" customFormat="false" ht="15" hidden="false" customHeight="false" outlineLevel="0" collapsed="false">
      <c r="A41" s="2" t="s">
        <v>120</v>
      </c>
      <c r="F41" s="19" t="n">
        <v>1500</v>
      </c>
      <c r="G41" s="3" t="s">
        <v>121</v>
      </c>
    </row>
    <row r="42" customFormat="false" ht="15" hidden="false" customHeight="false" outlineLevel="0" collapsed="false">
      <c r="A42" s="2" t="s">
        <v>122</v>
      </c>
      <c r="F42" s="19" t="n">
        <v>2000</v>
      </c>
      <c r="G42" s="3" t="s">
        <v>104</v>
      </c>
    </row>
    <row r="43" customFormat="false" ht="15" hidden="false" customHeight="false" outlineLevel="0" collapsed="false">
      <c r="A43" s="2" t="s">
        <v>123</v>
      </c>
      <c r="F43" s="19" t="n">
        <v>1000</v>
      </c>
      <c r="G43" s="3" t="s">
        <v>124</v>
      </c>
    </row>
    <row r="44" customFormat="false" ht="15" hidden="false" customHeight="false" outlineLevel="0" collapsed="false">
      <c r="A44" s="2" t="s">
        <v>125</v>
      </c>
      <c r="F44" s="19" t="n">
        <v>3500</v>
      </c>
      <c r="G44" s="3" t="s">
        <v>126</v>
      </c>
    </row>
    <row r="45" customFormat="false" ht="15" hidden="false" customHeight="false" outlineLevel="0" collapsed="false">
      <c r="A45" s="2" t="s">
        <v>127</v>
      </c>
      <c r="F45" s="16" t="n">
        <v>25</v>
      </c>
      <c r="G45" s="3" t="s">
        <v>128</v>
      </c>
    </row>
    <row r="47" customFormat="false" ht="15" hidden="false" customHeight="false" outlineLevel="0" collapsed="false">
      <c r="A47" s="2" t="s">
        <v>129</v>
      </c>
      <c r="F47" s="13" t="n">
        <f aca="false">Assumptions!$F$14+Assumptions!$F$15+Assumptions!$F$16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3" style="0" width="24"/>
  </cols>
  <sheetData>
    <row r="1" customFormat="false" ht="17.3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3" t="s">
        <v>131</v>
      </c>
    </row>
    <row r="4" customFormat="false" ht="15" hidden="false" customHeight="false" outlineLevel="0" collapsed="false">
      <c r="A4" s="5" t="s">
        <v>132</v>
      </c>
      <c r="C4" s="5" t="s">
        <v>133</v>
      </c>
      <c r="D4" s="5" t="s">
        <v>134</v>
      </c>
      <c r="E4" s="5" t="s">
        <v>135</v>
      </c>
    </row>
    <row r="5" customFormat="false" ht="26.85" hidden="false" customHeight="false" outlineLevel="0" collapsed="false">
      <c r="A5" s="2" t="s">
        <v>136</v>
      </c>
      <c r="C5" s="20" t="s">
        <v>137</v>
      </c>
      <c r="D5" s="20" t="s">
        <v>138</v>
      </c>
      <c r="E5" s="20" t="s">
        <v>139</v>
      </c>
    </row>
    <row r="6" customFormat="false" ht="15" hidden="false" customHeight="false" outlineLevel="0" collapsed="false">
      <c r="A6" s="2" t="s">
        <v>140</v>
      </c>
      <c r="C6" s="16" t="n">
        <v>1</v>
      </c>
      <c r="D6" s="16" t="n">
        <v>3</v>
      </c>
      <c r="E6" s="16" t="n">
        <v>10</v>
      </c>
    </row>
    <row r="7" customFormat="false" ht="15" hidden="false" customHeight="false" outlineLevel="0" collapsed="false">
      <c r="A7" s="2" t="s">
        <v>141</v>
      </c>
      <c r="C7" s="19" t="n">
        <v>1500000</v>
      </c>
      <c r="D7" s="19" t="n">
        <v>2000000</v>
      </c>
      <c r="E7" s="19" t="n">
        <v>2500000</v>
      </c>
    </row>
    <row r="8" customFormat="false" ht="15" hidden="false" customHeight="false" outlineLevel="0" collapsed="false">
      <c r="A8" s="2" t="s">
        <v>142</v>
      </c>
      <c r="C8" s="21" t="n">
        <v>0.01</v>
      </c>
      <c r="D8" s="21" t="n">
        <v>0.01</v>
      </c>
      <c r="E8" s="21" t="n">
        <v>0.01</v>
      </c>
    </row>
    <row r="9" customFormat="false" ht="15" hidden="false" customHeight="false" outlineLevel="0" collapsed="false">
      <c r="A9" s="2" t="s">
        <v>143</v>
      </c>
      <c r="C9" s="17" t="n">
        <v>1.5</v>
      </c>
      <c r="D9" s="17" t="n">
        <v>4</v>
      </c>
      <c r="E9" s="17" t="n">
        <v>8</v>
      </c>
    </row>
    <row r="10" customFormat="false" ht="15" hidden="false" customHeight="false" outlineLevel="0" collapsed="false">
      <c r="A10" s="2" t="s">
        <v>144</v>
      </c>
      <c r="C10" s="6" t="n">
        <f aca="false">C7*C8*C9</f>
        <v>22500</v>
      </c>
      <c r="D10" s="6" t="n">
        <f aca="false">D7*D8*D9</f>
        <v>80000</v>
      </c>
      <c r="E10" s="6" t="n">
        <f aca="false">E7*E8*E9</f>
        <v>200000</v>
      </c>
    </row>
    <row r="11" customFormat="false" ht="15" hidden="false" customHeight="false" outlineLevel="0" collapsed="false">
      <c r="A11" s="2" t="s">
        <v>81</v>
      </c>
      <c r="C11" s="22" t="n">
        <f aca="false">Assumptions!$F$18</f>
        <v>8</v>
      </c>
      <c r="D11" s="22" t="n">
        <f aca="false">Assumptions!$F$18</f>
        <v>8</v>
      </c>
      <c r="E11" s="22" t="n">
        <f aca="false">Assumptions!$F$18</f>
        <v>8</v>
      </c>
    </row>
    <row r="12" customFormat="false" ht="15" hidden="false" customHeight="false" outlineLevel="0" collapsed="false">
      <c r="A12" s="2" t="s">
        <v>145</v>
      </c>
      <c r="C12" s="17" t="n">
        <v>6</v>
      </c>
      <c r="D12" s="17" t="n">
        <v>6</v>
      </c>
      <c r="E12" s="17" t="n">
        <v>6</v>
      </c>
    </row>
    <row r="13" customFormat="false" ht="15" hidden="false" customHeight="false" outlineLevel="0" collapsed="false">
      <c r="A13" s="2" t="s">
        <v>146</v>
      </c>
      <c r="C13" s="19" t="n">
        <v>75</v>
      </c>
      <c r="D13" s="19" t="n">
        <v>75</v>
      </c>
      <c r="E13" s="19" t="n">
        <v>75</v>
      </c>
    </row>
    <row r="14" customFormat="false" ht="15" hidden="false" customHeight="false" outlineLevel="0" collapsed="false">
      <c r="A14" s="2" t="s">
        <v>147</v>
      </c>
      <c r="C14" s="6" t="n">
        <f aca="false">C6*C11*C12*C13</f>
        <v>3600</v>
      </c>
      <c r="D14" s="6" t="n">
        <f aca="false">D6*D11*D12*D13</f>
        <v>10800</v>
      </c>
      <c r="E14" s="6" t="n">
        <f aca="false">E6*E11*E12*E13</f>
        <v>36000</v>
      </c>
    </row>
    <row r="15" customFormat="false" ht="15" hidden="false" customHeight="false" outlineLevel="0" collapsed="false">
      <c r="A15" s="2" t="s">
        <v>148</v>
      </c>
      <c r="C15" s="23" t="n">
        <v>499</v>
      </c>
      <c r="D15" s="23" t="n">
        <v>1499</v>
      </c>
      <c r="E15" s="23" t="n">
        <v>3999</v>
      </c>
    </row>
    <row r="16" customFormat="false" ht="15" hidden="false" customHeight="false" outlineLevel="0" collapsed="false">
      <c r="A16" s="2" t="s">
        <v>149</v>
      </c>
      <c r="C16" s="13" t="n">
        <f aca="false">IFERROR(C15/C10,0)</f>
        <v>0.0221777777777778</v>
      </c>
      <c r="D16" s="13" t="n">
        <f aca="false">IFERROR(D15/D10,0)</f>
        <v>0.0187375</v>
      </c>
      <c r="E16" s="13" t="n">
        <f aca="false">IFERROR(E15/E10,0)</f>
        <v>0.019995</v>
      </c>
    </row>
    <row r="17" customFormat="false" ht="15" hidden="false" customHeight="false" outlineLevel="0" collapsed="false">
      <c r="A17" s="2" t="s">
        <v>150</v>
      </c>
      <c r="C17" s="11" t="n">
        <f aca="false">IFERROR(C14/C15,0)</f>
        <v>7.21442885771543</v>
      </c>
      <c r="D17" s="11" t="n">
        <f aca="false">IFERROR(D14/D15,0)</f>
        <v>7.20480320213476</v>
      </c>
      <c r="E17" s="11" t="n">
        <f aca="false">IFERROR(E14/E15,0)</f>
        <v>9.00225056264066</v>
      </c>
    </row>
    <row r="18" customFormat="false" ht="15" hidden="false" customHeight="false" outlineLevel="0" collapsed="false">
      <c r="A18" s="2" t="s">
        <v>151</v>
      </c>
      <c r="C18" s="6" t="n">
        <f aca="false">C10*$C$23</f>
        <v>675</v>
      </c>
      <c r="D18" s="6" t="n">
        <f aca="false">D10*$C$23</f>
        <v>2400</v>
      </c>
      <c r="E18" s="6" t="n">
        <f aca="false">E10*$C$23</f>
        <v>6000</v>
      </c>
    </row>
    <row r="19" customFormat="false" ht="15" hidden="false" customHeight="false" outlineLevel="0" collapsed="false">
      <c r="A19" s="2" t="s">
        <v>152</v>
      </c>
      <c r="C19" s="19" t="n">
        <v>0</v>
      </c>
      <c r="D19" s="19" t="n">
        <v>500</v>
      </c>
      <c r="E19" s="19" t="n">
        <v>2500</v>
      </c>
    </row>
    <row r="20" customFormat="false" ht="15" hidden="false" customHeight="false" outlineLevel="0" collapsed="false">
      <c r="A20" s="2" t="s">
        <v>153</v>
      </c>
      <c r="C20" s="24" t="n">
        <f aca="false">Assumptions!$F$14</f>
        <v>0.6</v>
      </c>
      <c r="D20" s="24" t="n">
        <f aca="false">Assumptions!$F$15</f>
        <v>0.32</v>
      </c>
      <c r="E20" s="24" t="n">
        <f aca="false">Assumptions!$F$16</f>
        <v>0.08</v>
      </c>
    </row>
    <row r="23" customFormat="false" ht="15" hidden="false" customHeight="false" outlineLevel="0" collapsed="false">
      <c r="A23" s="2" t="s">
        <v>154</v>
      </c>
      <c r="C23" s="25" t="n">
        <v>0.03</v>
      </c>
    </row>
    <row r="25" customFormat="false" ht="15" hidden="false" customHeight="false" outlineLevel="0" collapsed="false">
      <c r="A25" s="14" t="s">
        <v>155</v>
      </c>
    </row>
    <row r="26" customFormat="false" ht="15" hidden="false" customHeight="false" outlineLevel="0" collapsed="false">
      <c r="A26" s="2" t="s">
        <v>156</v>
      </c>
      <c r="C26" s="6" t="n">
        <f aca="false">SUMPRODUCT(C15:E15,C20:E20)</f>
        <v>1099</v>
      </c>
    </row>
    <row r="27" customFormat="false" ht="15" hidden="false" customHeight="false" outlineLevel="0" collapsed="false">
      <c r="A27" s="2" t="s">
        <v>157</v>
      </c>
      <c r="C27" s="10" t="n">
        <f aca="false">SUMPRODUCT(C6:E6,C20:E20)</f>
        <v>2.36</v>
      </c>
    </row>
    <row r="28" customFormat="false" ht="15" hidden="false" customHeight="false" outlineLevel="0" collapsed="false">
      <c r="A28" s="2" t="s">
        <v>158</v>
      </c>
      <c r="C28" s="6" t="n">
        <f aca="false">SUMPRODUCT(C19:E19,C20:E20)</f>
        <v>360</v>
      </c>
    </row>
    <row r="29" customFormat="false" ht="15" hidden="false" customHeight="false" outlineLevel="0" collapsed="false">
      <c r="A29" s="2" t="s">
        <v>159</v>
      </c>
      <c r="C29" s="6" t="n">
        <f aca="false">SUMPRODUCT(C10:E10,C20:E20)</f>
        <v>55100</v>
      </c>
    </row>
    <row r="31" customFormat="false" ht="15" hidden="false" customHeight="false" outlineLevel="0" collapsed="false">
      <c r="A31" s="5" t="s">
        <v>160</v>
      </c>
    </row>
    <row r="32" customFormat="false" ht="15" hidden="false" customHeight="false" outlineLevel="0" collapsed="false">
      <c r="A32" s="2" t="s">
        <v>161</v>
      </c>
      <c r="C32" s="6" t="n">
        <f aca="false">C10*Assumptions!$F$37</f>
        <v>1125</v>
      </c>
      <c r="D32" s="6" t="n">
        <f aca="false">D10*Assumptions!$F$37</f>
        <v>4000</v>
      </c>
      <c r="E32" s="6" t="n">
        <f aca="false">E10*Assumptions!$F$37</f>
        <v>10000</v>
      </c>
    </row>
    <row r="33" customFormat="false" ht="15" hidden="false" customHeight="false" outlineLevel="0" collapsed="false">
      <c r="A33" s="2" t="s">
        <v>162</v>
      </c>
      <c r="C33" s="6" t="n">
        <f aca="false">C15+C32</f>
        <v>1624</v>
      </c>
      <c r="D33" s="6" t="n">
        <f aca="false">D15+D32</f>
        <v>5499</v>
      </c>
      <c r="E33" s="6" t="n">
        <f aca="false">E15+E32</f>
        <v>13999</v>
      </c>
    </row>
    <row r="34" customFormat="false" ht="15" hidden="false" customHeight="false" outlineLevel="0" collapsed="false">
      <c r="A34" s="2" t="s">
        <v>163</v>
      </c>
      <c r="C34" s="13" t="n">
        <f aca="false">IFERROR(C33/C10,0)</f>
        <v>0.0721777777777778</v>
      </c>
      <c r="D34" s="13" t="n">
        <f aca="false">IFERROR(D33/D10,0)</f>
        <v>0.0687375</v>
      </c>
      <c r="E34" s="13" t="n">
        <f aca="false">IFERROR(E33/E10,0)</f>
        <v>0.069995</v>
      </c>
    </row>
    <row r="35" customFormat="false" ht="15" hidden="false" customHeight="false" outlineLevel="0" collapsed="false">
      <c r="A35" s="2" t="s">
        <v>164</v>
      </c>
      <c r="C35" s="11" t="n">
        <f aca="false">IFERROR(C14/C33,0)</f>
        <v>2.21674876847291</v>
      </c>
      <c r="D35" s="11" t="n">
        <f aca="false">IFERROR(D14/D33,0)</f>
        <v>1.96399345335516</v>
      </c>
      <c r="E35" s="11" t="n">
        <f aca="false">IFERROR(E14/E33,0)</f>
        <v>2.57161225801843</v>
      </c>
    </row>
    <row r="37" customFormat="false" ht="15" hidden="false" customHeight="false" outlineLevel="0" collapsed="false">
      <c r="A37" s="3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3" t="s">
        <v>167</v>
      </c>
    </row>
    <row r="4" customFormat="false" ht="15" hidden="false" customHeight="false" outlineLevel="0" collapsed="false">
      <c r="A4" s="14" t="s">
        <v>168</v>
      </c>
    </row>
    <row r="5" customFormat="false" ht="15" hidden="false" customHeight="false" outlineLevel="0" collapsed="false">
      <c r="A5" s="2" t="s">
        <v>169</v>
      </c>
      <c r="C5" s="26" t="n">
        <v>4</v>
      </c>
    </row>
    <row r="6" customFormat="false" ht="15" hidden="false" customHeight="false" outlineLevel="0" collapsed="false">
      <c r="A6" s="2" t="s">
        <v>170</v>
      </c>
      <c r="C6" s="26" t="n">
        <v>20</v>
      </c>
    </row>
    <row r="7" customFormat="false" ht="15" hidden="false" customHeight="false" outlineLevel="0" collapsed="false">
      <c r="A7" s="2" t="s">
        <v>171</v>
      </c>
      <c r="C7" s="26" t="n">
        <v>0.2</v>
      </c>
    </row>
    <row r="8" customFormat="false" ht="15" hidden="false" customHeight="false" outlineLevel="0" collapsed="false">
      <c r="A8" s="2" t="s">
        <v>172</v>
      </c>
      <c r="C8" s="26" t="n">
        <v>2</v>
      </c>
    </row>
    <row r="9" customFormat="false" ht="15" hidden="false" customHeight="false" outlineLevel="0" collapsed="false">
      <c r="A9" s="2" t="s">
        <v>173</v>
      </c>
      <c r="C9" s="26" t="n">
        <v>10</v>
      </c>
    </row>
    <row r="10" customFormat="false" ht="15" hidden="false" customHeight="false" outlineLevel="0" collapsed="false">
      <c r="A10" s="2" t="s">
        <v>174</v>
      </c>
      <c r="C10" s="26" t="n">
        <v>0.2</v>
      </c>
    </row>
    <row r="11" customFormat="false" ht="15" hidden="false" customHeight="false" outlineLevel="0" collapsed="false">
      <c r="A11" s="2" t="s">
        <v>175</v>
      </c>
      <c r="C11" s="26" t="n">
        <v>0.1</v>
      </c>
    </row>
    <row r="12" customFormat="false" ht="15" hidden="false" customHeight="false" outlineLevel="0" collapsed="false">
      <c r="A12" s="2" t="s">
        <v>176</v>
      </c>
      <c r="C12" s="26" t="n">
        <v>0.5</v>
      </c>
    </row>
    <row r="13" customFormat="false" ht="15" hidden="false" customHeight="false" outlineLevel="0" collapsed="false">
      <c r="A13" s="2" t="s">
        <v>177</v>
      </c>
      <c r="C13" s="27" t="n">
        <v>1.25</v>
      </c>
    </row>
    <row r="14" customFormat="false" ht="15" hidden="false" customHeight="false" outlineLevel="0" collapsed="false">
      <c r="A14" s="14" t="s">
        <v>178</v>
      </c>
    </row>
    <row r="15" customFormat="false" ht="15" hidden="false" customHeight="false" outlineLevel="0" collapsed="false">
      <c r="A15" s="2" t="s">
        <v>179</v>
      </c>
      <c r="C15" s="16" t="n">
        <v>250</v>
      </c>
    </row>
    <row r="16" customFormat="false" ht="15" hidden="false" customHeight="false" outlineLevel="0" collapsed="false">
      <c r="A16" s="2" t="s">
        <v>180</v>
      </c>
      <c r="C16" s="16" t="n">
        <v>1500</v>
      </c>
    </row>
    <row r="17" customFormat="false" ht="15" hidden="false" customHeight="false" outlineLevel="0" collapsed="false">
      <c r="A17" s="2" t="s">
        <v>181</v>
      </c>
      <c r="C17" s="16" t="n">
        <v>40000</v>
      </c>
    </row>
    <row r="18" customFormat="false" ht="15" hidden="false" customHeight="false" outlineLevel="0" collapsed="false">
      <c r="A18" s="2" t="s">
        <v>182</v>
      </c>
      <c r="C18" s="9" t="n">
        <f aca="false">$C$15*$C$16/1000000*$C$11+$C$17/1000000*$C$12</f>
        <v>0.0575</v>
      </c>
    </row>
    <row r="19" customFormat="false" ht="15" hidden="false" customHeight="false" outlineLevel="0" collapsed="false">
      <c r="A19" s="14" t="s">
        <v>183</v>
      </c>
    </row>
    <row r="20" customFormat="false" ht="15" hidden="false" customHeight="false" outlineLevel="0" collapsed="false">
      <c r="A20" s="2" t="s">
        <v>184</v>
      </c>
      <c r="C20" s="16" t="n">
        <v>25</v>
      </c>
    </row>
    <row r="21" customFormat="false" ht="15" hidden="false" customHeight="false" outlineLevel="0" collapsed="false">
      <c r="A21" s="2" t="s">
        <v>185</v>
      </c>
      <c r="C21" s="16" t="n">
        <v>120000</v>
      </c>
    </row>
    <row r="22" customFormat="false" ht="15" hidden="false" customHeight="false" outlineLevel="0" collapsed="false">
      <c r="A22" s="2" t="s">
        <v>186</v>
      </c>
      <c r="C22" s="18" t="n">
        <v>0.85</v>
      </c>
    </row>
    <row r="23" customFormat="false" ht="15" hidden="false" customHeight="false" outlineLevel="0" collapsed="false">
      <c r="A23" s="2" t="s">
        <v>187</v>
      </c>
      <c r="C23" s="16" t="n">
        <v>80000</v>
      </c>
    </row>
    <row r="24" customFormat="false" ht="15" hidden="false" customHeight="false" outlineLevel="0" collapsed="false">
      <c r="A24" s="2" t="s">
        <v>188</v>
      </c>
      <c r="C24" s="9" t="n">
        <f aca="false">$C$20*$C$21/1000000*($C$22*$C$7+(1-$C$22)*$C$5*$C$13)+$C$23/1000000*$C$6</f>
        <v>4.36</v>
      </c>
    </row>
    <row r="25" customFormat="false" ht="15" hidden="false" customHeight="false" outlineLevel="0" collapsed="false">
      <c r="A25" s="14" t="s">
        <v>189</v>
      </c>
    </row>
    <row r="26" customFormat="false" ht="15" hidden="false" customHeight="false" outlineLevel="0" collapsed="false">
      <c r="A26" s="2" t="s">
        <v>190</v>
      </c>
      <c r="C26" s="18" t="n">
        <v>0.4</v>
      </c>
    </row>
    <row r="27" customFormat="false" ht="15" hidden="false" customHeight="false" outlineLevel="0" collapsed="false">
      <c r="A27" s="2" t="s">
        <v>191</v>
      </c>
      <c r="C27" s="28" t="n">
        <v>0.015</v>
      </c>
    </row>
    <row r="28" customFormat="false" ht="15" hidden="false" customHeight="false" outlineLevel="0" collapsed="false">
      <c r="A28" s="2" t="s">
        <v>192</v>
      </c>
      <c r="C28" s="9" t="n">
        <f aca="false">$C$15*$C$26*$C$27</f>
        <v>1.5</v>
      </c>
    </row>
    <row r="29" customFormat="false" ht="15" hidden="false" customHeight="false" outlineLevel="0" collapsed="false">
      <c r="A29" s="14" t="s">
        <v>193</v>
      </c>
    </row>
    <row r="30" customFormat="false" ht="15" hidden="false" customHeight="false" outlineLevel="0" collapsed="false">
      <c r="A30" s="2" t="s">
        <v>194</v>
      </c>
      <c r="C30" s="16" t="n">
        <v>80</v>
      </c>
    </row>
    <row r="31" customFormat="false" ht="15" hidden="false" customHeight="false" outlineLevel="0" collapsed="false">
      <c r="A31" s="2" t="s">
        <v>195</v>
      </c>
      <c r="C31" s="16" t="n">
        <v>60000</v>
      </c>
    </row>
    <row r="32" customFormat="false" ht="15" hidden="false" customHeight="false" outlineLevel="0" collapsed="false">
      <c r="A32" s="2" t="s">
        <v>196</v>
      </c>
      <c r="C32" s="16" t="n">
        <v>4000</v>
      </c>
    </row>
    <row r="33" customFormat="false" ht="15" hidden="false" customHeight="false" outlineLevel="0" collapsed="false">
      <c r="A33" s="2" t="s">
        <v>197</v>
      </c>
      <c r="C33" s="9" t="n">
        <f aca="false">$C$30*($C$31/1000000*($C$22*$C$10+(1-$C$22)*$C$8*$C$13)+$C$32/1000000*$C$9)</f>
        <v>5.816</v>
      </c>
    </row>
    <row r="34" customFormat="false" ht="15" hidden="false" customHeight="false" outlineLevel="0" collapsed="false">
      <c r="A34" s="14" t="s">
        <v>198</v>
      </c>
    </row>
    <row r="35" customFormat="false" ht="15" hidden="false" customHeight="false" outlineLevel="0" collapsed="false">
      <c r="A35" s="2" t="s">
        <v>199</v>
      </c>
      <c r="C35" s="18" t="n">
        <v>0.25</v>
      </c>
    </row>
    <row r="36" customFormat="false" ht="15" hidden="false" customHeight="false" outlineLevel="0" collapsed="false">
      <c r="A36" s="2" t="s">
        <v>200</v>
      </c>
      <c r="C36" s="9" t="n">
        <f aca="false">($C$18+$C$24)*(1+$C$35)</f>
        <v>5.521875</v>
      </c>
    </row>
    <row r="37" customFormat="false" ht="15" hidden="false" customHeight="false" outlineLevel="0" collapsed="false">
      <c r="A37" s="2" t="s">
        <v>201</v>
      </c>
      <c r="C37" s="9" t="n">
        <f aca="false">$C$33*(1+$C$35)</f>
        <v>7.27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202</v>
      </c>
    </row>
    <row r="2" customFormat="false" ht="15" hidden="false" customHeight="false" outlineLevel="0" collapsed="false">
      <c r="A2" s="3" t="s">
        <v>203</v>
      </c>
    </row>
    <row r="4" customFormat="false" ht="15" hidden="false" customHeight="false" outlineLevel="0" collapsed="false">
      <c r="A4" s="5" t="s">
        <v>204</v>
      </c>
      <c r="C4" s="5" t="s">
        <v>205</v>
      </c>
      <c r="D4" s="5" t="s">
        <v>206</v>
      </c>
    </row>
    <row r="5" customFormat="false" ht="15" hidden="false" customHeight="false" outlineLevel="0" collapsed="false">
      <c r="A5" s="2" t="s">
        <v>207</v>
      </c>
      <c r="C5" s="19" t="n">
        <v>90</v>
      </c>
      <c r="D5" s="3" t="s">
        <v>208</v>
      </c>
    </row>
    <row r="6" customFormat="false" ht="15" hidden="false" customHeight="false" outlineLevel="0" collapsed="false">
      <c r="A6" s="2" t="s">
        <v>209</v>
      </c>
      <c r="C6" s="19" t="n">
        <v>240</v>
      </c>
      <c r="D6" s="3" t="s">
        <v>210</v>
      </c>
    </row>
    <row r="7" customFormat="false" ht="15" hidden="false" customHeight="false" outlineLevel="0" collapsed="false">
      <c r="A7" s="2" t="s">
        <v>211</v>
      </c>
      <c r="C7" s="19" t="n">
        <v>420</v>
      </c>
      <c r="D7" s="3" t="s">
        <v>212</v>
      </c>
    </row>
    <row r="8" customFormat="false" ht="15" hidden="false" customHeight="false" outlineLevel="0" collapsed="false">
      <c r="A8" s="2" t="s">
        <v>213</v>
      </c>
      <c r="C8" s="19" t="n">
        <v>150</v>
      </c>
      <c r="D8" s="3" t="s">
        <v>214</v>
      </c>
    </row>
    <row r="9" customFormat="false" ht="15" hidden="false" customHeight="false" outlineLevel="0" collapsed="false">
      <c r="A9" s="2" t="s">
        <v>215</v>
      </c>
      <c r="C9" s="19" t="n">
        <v>180</v>
      </c>
      <c r="D9" s="3" t="s">
        <v>216</v>
      </c>
    </row>
    <row r="10" customFormat="false" ht="15" hidden="false" customHeight="false" outlineLevel="0" collapsed="false">
      <c r="A10" s="2" t="s">
        <v>217</v>
      </c>
      <c r="C10" s="19" t="n">
        <v>90</v>
      </c>
      <c r="D10" s="3" t="s">
        <v>218</v>
      </c>
    </row>
    <row r="11" customFormat="false" ht="15" hidden="false" customHeight="false" outlineLevel="0" collapsed="false">
      <c r="A11" s="2" t="s">
        <v>219</v>
      </c>
      <c r="C11" s="19" t="n">
        <v>120</v>
      </c>
      <c r="D11" s="3" t="s">
        <v>220</v>
      </c>
    </row>
    <row r="12" customFormat="false" ht="15" hidden="false" customHeight="false" outlineLevel="0" collapsed="false">
      <c r="A12" s="2" t="s">
        <v>221</v>
      </c>
      <c r="C12" s="19" t="n">
        <v>40</v>
      </c>
      <c r="D12" s="3" t="s">
        <v>222</v>
      </c>
    </row>
    <row r="13" customFormat="false" ht="15" hidden="false" customHeight="false" outlineLevel="0" collapsed="false">
      <c r="A13" s="2" t="s">
        <v>223</v>
      </c>
      <c r="C13" s="19" t="n">
        <v>350</v>
      </c>
      <c r="D13" s="3" t="s">
        <v>224</v>
      </c>
    </row>
    <row r="14" customFormat="false" ht="15" hidden="false" customHeight="false" outlineLevel="0" collapsed="false">
      <c r="A14" s="2" t="s">
        <v>225</v>
      </c>
      <c r="C14" s="19" t="n">
        <v>250</v>
      </c>
      <c r="D14" s="3"/>
    </row>
    <row r="15" customFormat="false" ht="15" hidden="false" customHeight="false" outlineLevel="0" collapsed="false">
      <c r="A15" s="2" t="s">
        <v>226</v>
      </c>
      <c r="C15" s="19" t="n">
        <v>120</v>
      </c>
      <c r="D15" s="3" t="s">
        <v>227</v>
      </c>
    </row>
    <row r="16" customFormat="false" ht="15" hidden="false" customHeight="false" outlineLevel="0" collapsed="false">
      <c r="A16" s="2" t="s">
        <v>228</v>
      </c>
      <c r="C16" s="19" t="n">
        <v>600</v>
      </c>
      <c r="D16" s="3"/>
    </row>
    <row r="17" customFormat="false" ht="15" hidden="false" customHeight="false" outlineLevel="0" collapsed="false">
      <c r="A17" s="2" t="s">
        <v>229</v>
      </c>
      <c r="C17" s="19" t="n">
        <v>300</v>
      </c>
      <c r="D17" s="3" t="s">
        <v>230</v>
      </c>
    </row>
    <row r="18" customFormat="false" ht="15" hidden="false" customHeight="false" outlineLevel="0" collapsed="false">
      <c r="A18" s="14" t="s">
        <v>231</v>
      </c>
      <c r="C18" s="29" t="n">
        <f aca="false">SUM(C5:C17)</f>
        <v>2950</v>
      </c>
    </row>
    <row r="20" customFormat="false" ht="15" hidden="false" customHeight="false" outlineLevel="0" collapsed="false">
      <c r="A20" s="5" t="s">
        <v>232</v>
      </c>
      <c r="C20" s="5" t="s">
        <v>233</v>
      </c>
      <c r="E20" s="5" t="s">
        <v>234</v>
      </c>
    </row>
    <row r="21" customFormat="false" ht="15" hidden="false" customHeight="false" outlineLevel="0" collapsed="false">
      <c r="A21" s="2" t="s">
        <v>235</v>
      </c>
      <c r="C21" s="19" t="n">
        <v>1000</v>
      </c>
      <c r="D21" s="3" t="s">
        <v>236</v>
      </c>
      <c r="E21" s="19" t="n">
        <v>700</v>
      </c>
    </row>
    <row r="22" customFormat="false" ht="15" hidden="false" customHeight="false" outlineLevel="0" collapsed="false">
      <c r="A22" s="2" t="s">
        <v>237</v>
      </c>
      <c r="C22" s="19" t="n">
        <v>900</v>
      </c>
      <c r="D22" s="3" t="s">
        <v>238</v>
      </c>
      <c r="E22" s="19" t="n">
        <v>200</v>
      </c>
    </row>
    <row r="23" customFormat="false" ht="15" hidden="false" customHeight="false" outlineLevel="0" collapsed="false">
      <c r="A23" s="2" t="s">
        <v>239</v>
      </c>
      <c r="C23" s="19" t="n">
        <v>500</v>
      </c>
      <c r="D23" s="3" t="s">
        <v>240</v>
      </c>
      <c r="E23" s="19" t="n">
        <v>0</v>
      </c>
    </row>
    <row r="24" customFormat="false" ht="15" hidden="false" customHeight="false" outlineLevel="0" collapsed="false">
      <c r="A24" s="2" t="s">
        <v>241</v>
      </c>
      <c r="C24" s="19" t="n">
        <v>400</v>
      </c>
      <c r="D24" s="3"/>
      <c r="E24" s="19" t="n">
        <v>100</v>
      </c>
    </row>
    <row r="25" customFormat="false" ht="15" hidden="false" customHeight="false" outlineLevel="0" collapsed="false">
      <c r="A25" s="2" t="s">
        <v>242</v>
      </c>
      <c r="C25" s="19" t="n">
        <v>400</v>
      </c>
      <c r="D25" s="3"/>
      <c r="E25" s="19" t="n">
        <v>100</v>
      </c>
    </row>
    <row r="26" customFormat="false" ht="15" hidden="false" customHeight="false" outlineLevel="0" collapsed="false">
      <c r="A26" s="2" t="s">
        <v>243</v>
      </c>
      <c r="C26" s="19" t="n">
        <v>300</v>
      </c>
      <c r="D26" s="3" t="s">
        <v>244</v>
      </c>
      <c r="E26" s="19" t="n">
        <v>100</v>
      </c>
    </row>
    <row r="27" customFormat="false" ht="15" hidden="false" customHeight="false" outlineLevel="0" collapsed="false">
      <c r="A27" s="2" t="s">
        <v>245</v>
      </c>
      <c r="C27" s="19" t="n">
        <v>300</v>
      </c>
      <c r="D27" s="3"/>
      <c r="E27" s="19" t="n">
        <v>100</v>
      </c>
    </row>
    <row r="28" customFormat="false" ht="15" hidden="false" customHeight="false" outlineLevel="0" collapsed="false">
      <c r="A28" s="14" t="s">
        <v>246</v>
      </c>
      <c r="C28" s="29" t="n">
        <f aca="false">SUM(C21:C27)</f>
        <v>3800</v>
      </c>
      <c r="E28" s="29" t="n">
        <f aca="false">SUM(E21:E27)</f>
        <v>1300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3" style="0" width="15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3" t="s">
        <v>248</v>
      </c>
    </row>
    <row r="4" customFormat="false" ht="15" hidden="false" customHeight="false" outlineLevel="0" collapsed="false">
      <c r="A4" s="5" t="s">
        <v>249</v>
      </c>
      <c r="C4" s="5" t="s">
        <v>250</v>
      </c>
      <c r="D4" s="5" t="s">
        <v>251</v>
      </c>
      <c r="E4" s="5" t="s">
        <v>252</v>
      </c>
      <c r="F4" s="5" t="s">
        <v>253</v>
      </c>
      <c r="G4" s="5" t="s">
        <v>254</v>
      </c>
      <c r="H4" s="5" t="s">
        <v>255</v>
      </c>
      <c r="I4" s="5" t="s">
        <v>206</v>
      </c>
    </row>
    <row r="5" customFormat="false" ht="15" hidden="false" customHeight="false" outlineLevel="0" collapsed="false">
      <c r="A5" s="2" t="s">
        <v>256</v>
      </c>
      <c r="C5" s="19" t="n">
        <v>12500</v>
      </c>
      <c r="D5" s="16" t="n">
        <v>1</v>
      </c>
      <c r="E5" s="19" t="n">
        <v>12500</v>
      </c>
      <c r="F5" s="16" t="n">
        <v>13</v>
      </c>
      <c r="G5" s="19" t="n">
        <v>12500</v>
      </c>
      <c r="H5" s="16" t="n">
        <v>25</v>
      </c>
      <c r="I5" s="3" t="s">
        <v>257</v>
      </c>
    </row>
    <row r="6" customFormat="false" ht="15" hidden="false" customHeight="false" outlineLevel="0" collapsed="false">
      <c r="A6" s="2" t="s">
        <v>258</v>
      </c>
      <c r="C6" s="19" t="n">
        <v>22000</v>
      </c>
      <c r="D6" s="16" t="n">
        <v>1</v>
      </c>
      <c r="E6" s="19" t="n">
        <v>22000</v>
      </c>
      <c r="F6" s="16" t="n">
        <v>1</v>
      </c>
      <c r="G6" s="19" t="n">
        <v>22000</v>
      </c>
      <c r="H6" s="16" t="n">
        <v>1</v>
      </c>
      <c r="I6" s="3" t="s">
        <v>259</v>
      </c>
    </row>
    <row r="7" customFormat="false" ht="15" hidden="false" customHeight="false" outlineLevel="0" collapsed="false">
      <c r="A7" s="2" t="s">
        <v>260</v>
      </c>
      <c r="C7" s="19" t="n">
        <v>18000</v>
      </c>
      <c r="D7" s="16" t="n">
        <v>1</v>
      </c>
      <c r="E7" s="19" t="n">
        <v>18000</v>
      </c>
      <c r="F7" s="16" t="n">
        <v>7</v>
      </c>
      <c r="G7" s="19" t="n">
        <v>18000</v>
      </c>
      <c r="H7" s="16" t="n">
        <v>19</v>
      </c>
      <c r="I7" s="3"/>
    </row>
    <row r="8" customFormat="false" ht="15" hidden="false" customHeight="false" outlineLevel="0" collapsed="false">
      <c r="A8" s="2" t="s">
        <v>261</v>
      </c>
      <c r="C8" s="19" t="n">
        <v>9000</v>
      </c>
      <c r="D8" s="16" t="n">
        <v>1</v>
      </c>
      <c r="E8" s="19" t="n">
        <v>4500</v>
      </c>
      <c r="F8" s="16" t="n">
        <v>1</v>
      </c>
      <c r="G8" s="19" t="n">
        <v>3000</v>
      </c>
      <c r="H8" s="16" t="n">
        <v>1</v>
      </c>
      <c r="I8" s="3" t="s">
        <v>262</v>
      </c>
    </row>
    <row r="9" customFormat="false" ht="15" hidden="false" customHeight="false" outlineLevel="0" collapsed="false">
      <c r="A9" s="2" t="s">
        <v>263</v>
      </c>
      <c r="C9" s="19" t="n">
        <v>19000</v>
      </c>
      <c r="D9" s="16" t="n">
        <v>4</v>
      </c>
      <c r="E9" s="19" t="n">
        <v>6000</v>
      </c>
      <c r="F9" s="16" t="n">
        <v>3</v>
      </c>
      <c r="G9" s="19" t="n">
        <v>3000</v>
      </c>
      <c r="H9" s="16" t="n">
        <v>3</v>
      </c>
      <c r="I9" s="3" t="s">
        <v>264</v>
      </c>
    </row>
    <row r="10" customFormat="false" ht="15" hidden="false" customHeight="false" outlineLevel="0" collapsed="false">
      <c r="A10" s="2" t="s">
        <v>265</v>
      </c>
      <c r="C10" s="19" t="n">
        <v>13000</v>
      </c>
      <c r="D10" s="16" t="n">
        <v>7</v>
      </c>
      <c r="E10" s="19" t="n">
        <v>13000</v>
      </c>
      <c r="F10" s="16" t="n">
        <v>10</v>
      </c>
      <c r="G10" s="19" t="n">
        <v>13000</v>
      </c>
      <c r="H10" s="16" t="n">
        <v>99</v>
      </c>
      <c r="I10" s="3" t="s">
        <v>266</v>
      </c>
    </row>
    <row r="11" customFormat="false" ht="15" hidden="false" customHeight="false" outlineLevel="0" collapsed="false">
      <c r="A11" s="2" t="s">
        <v>267</v>
      </c>
      <c r="C11" s="19" t="n">
        <v>11000</v>
      </c>
      <c r="D11" s="16" t="n">
        <v>10</v>
      </c>
      <c r="E11" s="19" t="n">
        <v>11000</v>
      </c>
      <c r="F11" s="16" t="n">
        <v>19</v>
      </c>
      <c r="G11" s="19" t="n">
        <v>11000</v>
      </c>
      <c r="H11" s="16" t="n">
        <v>99</v>
      </c>
      <c r="I11" s="3"/>
    </row>
    <row r="12" customFormat="false" ht="15" hidden="false" customHeight="false" outlineLevel="0" collapsed="false">
      <c r="A12" s="2" t="s">
        <v>268</v>
      </c>
      <c r="C12" s="19" t="n">
        <v>18000</v>
      </c>
      <c r="D12" s="16" t="n">
        <v>13</v>
      </c>
      <c r="E12" s="19" t="n">
        <v>18000</v>
      </c>
      <c r="F12" s="16" t="n">
        <v>16</v>
      </c>
      <c r="G12" s="19" t="n">
        <v>18000</v>
      </c>
      <c r="H12" s="16" t="n">
        <v>99</v>
      </c>
      <c r="I12" s="3"/>
    </row>
    <row r="13" customFormat="false" ht="15" hidden="false" customHeight="false" outlineLevel="0" collapsed="false">
      <c r="A13" s="2" t="s">
        <v>269</v>
      </c>
      <c r="C13" s="19" t="n">
        <v>12000</v>
      </c>
      <c r="D13" s="16" t="n">
        <v>16</v>
      </c>
      <c r="E13" s="19" t="n">
        <v>12000</v>
      </c>
      <c r="F13" s="16" t="n">
        <v>25</v>
      </c>
      <c r="G13" s="19" t="n">
        <v>12000</v>
      </c>
      <c r="H13" s="16" t="n">
        <v>99</v>
      </c>
      <c r="I13" s="3" t="s">
        <v>270</v>
      </c>
    </row>
    <row r="14" customFormat="false" ht="15" hidden="false" customHeight="false" outlineLevel="0" collapsed="false">
      <c r="A14" s="2" t="s">
        <v>271</v>
      </c>
      <c r="C14" s="19" t="n">
        <v>13000</v>
      </c>
      <c r="D14" s="16" t="n">
        <v>16</v>
      </c>
      <c r="E14" s="19" t="n">
        <v>13000</v>
      </c>
      <c r="F14" s="16" t="n">
        <v>22</v>
      </c>
      <c r="G14" s="19" t="n">
        <v>13000</v>
      </c>
      <c r="H14" s="16" t="n">
        <v>99</v>
      </c>
      <c r="I14" s="3"/>
    </row>
    <row r="15" customFormat="false" ht="15" hidden="false" customHeight="false" outlineLevel="0" collapsed="false">
      <c r="A15" s="2" t="s">
        <v>272</v>
      </c>
      <c r="C15" s="19" t="n">
        <v>18000</v>
      </c>
      <c r="D15" s="16" t="n">
        <v>19</v>
      </c>
      <c r="E15" s="19" t="n">
        <v>18000</v>
      </c>
      <c r="F15" s="16" t="n">
        <v>28</v>
      </c>
      <c r="G15" s="19" t="n">
        <v>18000</v>
      </c>
      <c r="H15" s="16" t="n">
        <v>99</v>
      </c>
      <c r="I1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3" t="s">
        <v>274</v>
      </c>
    </row>
    <row r="4" customFormat="false" ht="15" hidden="false" customHeight="false" outlineLevel="0" collapsed="false">
      <c r="A4" s="5" t="s">
        <v>275</v>
      </c>
      <c r="C4" s="5" t="s">
        <v>276</v>
      </c>
      <c r="D4" s="5" t="s">
        <v>277</v>
      </c>
      <c r="E4" s="5" t="s">
        <v>278</v>
      </c>
    </row>
    <row r="5" customFormat="false" ht="15" hidden="false" customHeight="false" outlineLevel="0" collapsed="false">
      <c r="A5" s="2" t="s">
        <v>279</v>
      </c>
      <c r="C5" s="19" t="n">
        <v>6000</v>
      </c>
      <c r="D5" s="16" t="n">
        <v>1</v>
      </c>
      <c r="E5" s="19" t="n">
        <v>3000</v>
      </c>
    </row>
    <row r="6" customFormat="false" ht="15" hidden="false" customHeight="false" outlineLevel="0" collapsed="false">
      <c r="A6" s="2" t="s">
        <v>280</v>
      </c>
      <c r="C6" s="19" t="n">
        <v>25000</v>
      </c>
      <c r="D6" s="16" t="n">
        <v>1</v>
      </c>
      <c r="E6" s="19" t="n">
        <v>25000</v>
      </c>
    </row>
    <row r="7" customFormat="false" ht="15" hidden="false" customHeight="false" outlineLevel="0" collapsed="false">
      <c r="A7" s="2" t="s">
        <v>281</v>
      </c>
      <c r="C7" s="19" t="n">
        <v>12000</v>
      </c>
      <c r="D7" s="16" t="n">
        <v>2</v>
      </c>
      <c r="E7" s="19" t="n">
        <v>8000</v>
      </c>
    </row>
    <row r="8" customFormat="false" ht="15" hidden="false" customHeight="false" outlineLevel="0" collapsed="false">
      <c r="A8" s="2" t="s">
        <v>282</v>
      </c>
      <c r="C8" s="19" t="n">
        <v>3000</v>
      </c>
      <c r="D8" s="16" t="n">
        <v>2</v>
      </c>
      <c r="E8" s="19" t="n">
        <v>1500</v>
      </c>
    </row>
    <row r="9" customFormat="false" ht="15" hidden="false" customHeight="false" outlineLevel="0" collapsed="false">
      <c r="A9" s="2" t="s">
        <v>283</v>
      </c>
      <c r="C9" s="19" t="n">
        <v>25000</v>
      </c>
      <c r="D9" s="16" t="n">
        <v>2</v>
      </c>
      <c r="E9" s="19" t="n">
        <v>6000</v>
      </c>
    </row>
    <row r="10" customFormat="false" ht="15" hidden="false" customHeight="false" outlineLevel="0" collapsed="false">
      <c r="A10" s="2" t="s">
        <v>284</v>
      </c>
      <c r="C10" s="19" t="n">
        <v>15000</v>
      </c>
      <c r="D10" s="16" t="n">
        <v>3</v>
      </c>
      <c r="E10" s="19" t="n">
        <v>5000</v>
      </c>
    </row>
    <row r="11" customFormat="false" ht="15" hidden="false" customHeight="false" outlineLevel="0" collapsed="false">
      <c r="A11" s="2" t="s">
        <v>285</v>
      </c>
      <c r="C11" s="19" t="n">
        <v>15000</v>
      </c>
      <c r="D11" s="16" t="n">
        <v>4</v>
      </c>
      <c r="E11" s="19" t="n">
        <v>5000</v>
      </c>
    </row>
    <row r="12" customFormat="false" ht="15" hidden="false" customHeight="false" outlineLevel="0" collapsed="false">
      <c r="A12" s="2" t="s">
        <v>286</v>
      </c>
      <c r="C12" s="19" t="n">
        <v>15000</v>
      </c>
      <c r="D12" s="16" t="n">
        <v>1</v>
      </c>
      <c r="E12" s="19" t="n">
        <v>6000</v>
      </c>
    </row>
    <row r="13" customFormat="false" ht="15" hidden="false" customHeight="false" outlineLevel="0" collapsed="false">
      <c r="A13" s="2" t="s">
        <v>287</v>
      </c>
      <c r="C13" s="19" t="n">
        <v>15000</v>
      </c>
      <c r="D13" s="16" t="n">
        <v>4</v>
      </c>
      <c r="E13" s="19" t="n">
        <v>0</v>
      </c>
    </row>
    <row r="14" customFormat="false" ht="15" hidden="false" customHeight="false" outlineLevel="0" collapsed="false">
      <c r="A14" s="2" t="s">
        <v>288</v>
      </c>
      <c r="C14" s="19" t="n">
        <v>20000</v>
      </c>
      <c r="D14" s="16" t="n">
        <v>6</v>
      </c>
      <c r="E14" s="19" t="n">
        <v>15000</v>
      </c>
    </row>
    <row r="15" customFormat="false" ht="15" hidden="false" customHeight="false" outlineLevel="0" collapsed="false">
      <c r="A15" s="2" t="s">
        <v>289</v>
      </c>
      <c r="C15" s="19" t="n">
        <v>18000</v>
      </c>
      <c r="D15" s="16" t="n">
        <v>6</v>
      </c>
      <c r="E15" s="19" t="n">
        <v>10000</v>
      </c>
    </row>
    <row r="16" customFormat="false" ht="15" hidden="false" customHeight="false" outlineLevel="0" collapsed="false">
      <c r="A16" s="2" t="s">
        <v>290</v>
      </c>
      <c r="C16" s="19" t="n">
        <v>15000</v>
      </c>
      <c r="D16" s="16" t="n">
        <v>6</v>
      </c>
      <c r="E16" s="19" t="n">
        <v>3000</v>
      </c>
    </row>
    <row r="17" customFormat="false" ht="15" hidden="false" customHeight="false" outlineLevel="0" collapsed="false">
      <c r="A17" s="2" t="s">
        <v>291</v>
      </c>
      <c r="B17" s="18" t="n">
        <v>0.15</v>
      </c>
      <c r="C17" s="6" t="n">
        <f aca="false">SUM(C5:C16)*B17</f>
        <v>27600</v>
      </c>
      <c r="D17" s="16" t="n">
        <v>1</v>
      </c>
      <c r="E17" s="6" t="n">
        <f aca="false">SUM(E5:E16)*B17</f>
        <v>13125</v>
      </c>
    </row>
    <row r="18" customFormat="false" ht="15" hidden="false" customHeight="false" outlineLevel="0" collapsed="false">
      <c r="A18" s="14" t="s">
        <v>292</v>
      </c>
      <c r="C18" s="29" t="n">
        <f aca="false">SUM(C5:C17)</f>
        <v>211600</v>
      </c>
      <c r="E18" s="29" t="n">
        <f aca="false">SUM(E5:E17)</f>
        <v>100625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8" min="3" style="0" width="11"/>
  </cols>
  <sheetData>
    <row r="1" customFormat="false" ht="17.35" hidden="false" customHeight="false" outlineLevel="0" collapsed="false">
      <c r="A1" s="1" t="s">
        <v>293</v>
      </c>
    </row>
    <row r="2" customFormat="false" ht="15" hidden="false" customHeight="false" outlineLevel="0" collapsed="false">
      <c r="A2" s="3" t="s">
        <v>294</v>
      </c>
    </row>
    <row r="4" customFormat="false" ht="15" hidden="false" customHeight="false" outlineLevel="0" collapsed="false">
      <c r="B4" s="2" t="s">
        <v>277</v>
      </c>
      <c r="C4" s="30" t="n">
        <v>1</v>
      </c>
      <c r="D4" s="30" t="n">
        <v>2</v>
      </c>
      <c r="E4" s="30" t="n">
        <v>3</v>
      </c>
      <c r="F4" s="30" t="n">
        <v>4</v>
      </c>
      <c r="G4" s="30" t="n">
        <v>5</v>
      </c>
      <c r="H4" s="30" t="n">
        <v>6</v>
      </c>
      <c r="I4" s="30" t="n">
        <v>7</v>
      </c>
      <c r="J4" s="30" t="n">
        <v>8</v>
      </c>
      <c r="K4" s="30" t="n">
        <v>9</v>
      </c>
      <c r="L4" s="30" t="n">
        <v>10</v>
      </c>
      <c r="M4" s="30" t="n">
        <v>11</v>
      </c>
      <c r="N4" s="30" t="n">
        <v>12</v>
      </c>
      <c r="O4" s="30" t="n">
        <v>13</v>
      </c>
      <c r="P4" s="30" t="n">
        <v>14</v>
      </c>
      <c r="Q4" s="30" t="n">
        <v>15</v>
      </c>
      <c r="R4" s="30" t="n">
        <v>16</v>
      </c>
      <c r="S4" s="30" t="n">
        <v>17</v>
      </c>
      <c r="T4" s="30" t="n">
        <v>18</v>
      </c>
      <c r="U4" s="30" t="n">
        <v>19</v>
      </c>
      <c r="V4" s="30" t="n">
        <v>20</v>
      </c>
      <c r="W4" s="30" t="n">
        <v>21</v>
      </c>
      <c r="X4" s="30" t="n">
        <v>22</v>
      </c>
      <c r="Y4" s="30" t="n">
        <v>23</v>
      </c>
      <c r="Z4" s="30" t="n">
        <v>24</v>
      </c>
      <c r="AA4" s="30" t="n">
        <v>25</v>
      </c>
      <c r="AB4" s="30" t="n">
        <v>26</v>
      </c>
      <c r="AC4" s="30" t="n">
        <v>27</v>
      </c>
      <c r="AD4" s="30" t="n">
        <v>28</v>
      </c>
      <c r="AE4" s="30" t="n">
        <v>29</v>
      </c>
      <c r="AF4" s="30" t="n">
        <v>30</v>
      </c>
      <c r="AG4" s="30" t="n">
        <v>31</v>
      </c>
      <c r="AH4" s="30" t="n">
        <v>32</v>
      </c>
      <c r="AI4" s="30" t="n">
        <v>33</v>
      </c>
      <c r="AJ4" s="30" t="n">
        <v>34</v>
      </c>
      <c r="AK4" s="30" t="n">
        <v>35</v>
      </c>
      <c r="AL4" s="30" t="n">
        <v>36</v>
      </c>
    </row>
    <row r="5" customFormat="false" ht="15" hidden="false" customHeight="false" outlineLevel="0" collapsed="false">
      <c r="B5" s="2" t="s">
        <v>295</v>
      </c>
      <c r="C5" s="8" t="n">
        <f aca="false">ROUNDUP(C4/12,0)</f>
        <v>1</v>
      </c>
      <c r="D5" s="8" t="n">
        <f aca="false">ROUNDUP(D4/12,0)</f>
        <v>1</v>
      </c>
      <c r="E5" s="8" t="n">
        <f aca="false">ROUNDUP(E4/12,0)</f>
        <v>1</v>
      </c>
      <c r="F5" s="8" t="n">
        <f aca="false">ROUNDUP(F4/12,0)</f>
        <v>1</v>
      </c>
      <c r="G5" s="8" t="n">
        <f aca="false">ROUNDUP(G4/12,0)</f>
        <v>1</v>
      </c>
      <c r="H5" s="8" t="n">
        <f aca="false">ROUNDUP(H4/12,0)</f>
        <v>1</v>
      </c>
      <c r="I5" s="8" t="n">
        <f aca="false">ROUNDUP(I4/12,0)</f>
        <v>1</v>
      </c>
      <c r="J5" s="8" t="n">
        <f aca="false">ROUNDUP(J4/12,0)</f>
        <v>1</v>
      </c>
      <c r="K5" s="8" t="n">
        <f aca="false">ROUNDUP(K4/12,0)</f>
        <v>1</v>
      </c>
      <c r="L5" s="8" t="n">
        <f aca="false">ROUNDUP(L4/12,0)</f>
        <v>1</v>
      </c>
      <c r="M5" s="8" t="n">
        <f aca="false">ROUNDUP(M4/12,0)</f>
        <v>1</v>
      </c>
      <c r="N5" s="8" t="n">
        <f aca="false">ROUNDUP(N4/12,0)</f>
        <v>1</v>
      </c>
      <c r="O5" s="8" t="n">
        <f aca="false">ROUNDUP(O4/12,0)</f>
        <v>2</v>
      </c>
      <c r="P5" s="8" t="n">
        <f aca="false">ROUNDUP(P4/12,0)</f>
        <v>2</v>
      </c>
      <c r="Q5" s="8" t="n">
        <f aca="false">ROUNDUP(Q4/12,0)</f>
        <v>2</v>
      </c>
      <c r="R5" s="8" t="n">
        <f aca="false">ROUNDUP(R4/12,0)</f>
        <v>2</v>
      </c>
      <c r="S5" s="8" t="n">
        <f aca="false">ROUNDUP(S4/12,0)</f>
        <v>2</v>
      </c>
      <c r="T5" s="8" t="n">
        <f aca="false">ROUNDUP(T4/12,0)</f>
        <v>2</v>
      </c>
      <c r="U5" s="8" t="n">
        <f aca="false">ROUNDUP(U4/12,0)</f>
        <v>2</v>
      </c>
      <c r="V5" s="8" t="n">
        <f aca="false">ROUNDUP(V4/12,0)</f>
        <v>2</v>
      </c>
      <c r="W5" s="8" t="n">
        <f aca="false">ROUNDUP(W4/12,0)</f>
        <v>2</v>
      </c>
      <c r="X5" s="8" t="n">
        <f aca="false">ROUNDUP(X4/12,0)</f>
        <v>2</v>
      </c>
      <c r="Y5" s="8" t="n">
        <f aca="false">ROUNDUP(Y4/12,0)</f>
        <v>2</v>
      </c>
      <c r="Z5" s="8" t="n">
        <f aca="false">ROUNDUP(Z4/12,0)</f>
        <v>2</v>
      </c>
      <c r="AA5" s="8" t="n">
        <f aca="false">ROUNDUP(AA4/12,0)</f>
        <v>3</v>
      </c>
      <c r="AB5" s="8" t="n">
        <f aca="false">ROUNDUP(AB4/12,0)</f>
        <v>3</v>
      </c>
      <c r="AC5" s="8" t="n">
        <f aca="false">ROUNDUP(AC4/12,0)</f>
        <v>3</v>
      </c>
      <c r="AD5" s="8" t="n">
        <f aca="false">ROUNDUP(AD4/12,0)</f>
        <v>3</v>
      </c>
      <c r="AE5" s="8" t="n">
        <f aca="false">ROUNDUP(AE4/12,0)</f>
        <v>3</v>
      </c>
      <c r="AF5" s="8" t="n">
        <f aca="false">ROUNDUP(AF4/12,0)</f>
        <v>3</v>
      </c>
      <c r="AG5" s="8" t="n">
        <f aca="false">ROUNDUP(AG4/12,0)</f>
        <v>3</v>
      </c>
      <c r="AH5" s="8" t="n">
        <f aca="false">ROUNDUP(AH4/12,0)</f>
        <v>3</v>
      </c>
      <c r="AI5" s="8" t="n">
        <f aca="false">ROUNDUP(AI4/12,0)</f>
        <v>3</v>
      </c>
      <c r="AJ5" s="8" t="n">
        <f aca="false">ROUNDUP(AJ4/12,0)</f>
        <v>3</v>
      </c>
      <c r="AK5" s="8" t="n">
        <f aca="false">ROUNDUP(AK4/12,0)</f>
        <v>3</v>
      </c>
      <c r="AL5" s="8" t="n">
        <f aca="false">ROUNDUP(AL4/12,0)</f>
        <v>3</v>
      </c>
    </row>
    <row r="6" customFormat="false" ht="15" hidden="false" customHeight="false" outlineLevel="0" collapsed="false">
      <c r="B6" s="2" t="s">
        <v>296</v>
      </c>
      <c r="C6" s="8" t="n">
        <f aca="false">IF(C4&gt;=Assumptions!$F$7,1,0)</f>
        <v>0</v>
      </c>
      <c r="D6" s="8" t="n">
        <f aca="false">IF(D4&gt;=Assumptions!$F$7,1,0)</f>
        <v>0</v>
      </c>
      <c r="E6" s="8" t="n">
        <f aca="false">IF(E4&gt;=Assumptions!$F$7,1,0)</f>
        <v>0</v>
      </c>
      <c r="F6" s="8" t="n">
        <f aca="false">IF(F4&gt;=Assumptions!$F$7,1,0)</f>
        <v>0</v>
      </c>
      <c r="G6" s="8" t="n">
        <f aca="false">IF(G4&gt;=Assumptions!$F$7,1,0)</f>
        <v>0</v>
      </c>
      <c r="H6" s="8" t="n">
        <f aca="false">IF(H4&gt;=Assumptions!$F$7,1,0)</f>
        <v>0</v>
      </c>
      <c r="I6" s="8" t="n">
        <f aca="false">IF(I4&gt;=Assumptions!$F$7,1,0)</f>
        <v>0</v>
      </c>
      <c r="J6" s="8" t="n">
        <f aca="false">IF(J4&gt;=Assumptions!$F$7,1,0)</f>
        <v>0</v>
      </c>
      <c r="K6" s="8" t="n">
        <f aca="false">IF(K4&gt;=Assumptions!$F$7,1,0)</f>
        <v>1</v>
      </c>
      <c r="L6" s="8" t="n">
        <f aca="false">IF(L4&gt;=Assumptions!$F$7,1,0)</f>
        <v>1</v>
      </c>
      <c r="M6" s="8" t="n">
        <f aca="false">IF(M4&gt;=Assumptions!$F$7,1,0)</f>
        <v>1</v>
      </c>
      <c r="N6" s="8" t="n">
        <f aca="false">IF(N4&gt;=Assumptions!$F$7,1,0)</f>
        <v>1</v>
      </c>
      <c r="O6" s="8" t="n">
        <f aca="false">IF(O4&gt;=Assumptions!$F$7,1,0)</f>
        <v>1</v>
      </c>
      <c r="P6" s="8" t="n">
        <f aca="false">IF(P4&gt;=Assumptions!$F$7,1,0)</f>
        <v>1</v>
      </c>
      <c r="Q6" s="8" t="n">
        <f aca="false">IF(Q4&gt;=Assumptions!$F$7,1,0)</f>
        <v>1</v>
      </c>
      <c r="R6" s="8" t="n">
        <f aca="false">IF(R4&gt;=Assumptions!$F$7,1,0)</f>
        <v>1</v>
      </c>
      <c r="S6" s="8" t="n">
        <f aca="false">IF(S4&gt;=Assumptions!$F$7,1,0)</f>
        <v>1</v>
      </c>
      <c r="T6" s="8" t="n">
        <f aca="false">IF(T4&gt;=Assumptions!$F$7,1,0)</f>
        <v>1</v>
      </c>
      <c r="U6" s="8" t="n">
        <f aca="false">IF(U4&gt;=Assumptions!$F$7,1,0)</f>
        <v>1</v>
      </c>
      <c r="V6" s="8" t="n">
        <f aca="false">IF(V4&gt;=Assumptions!$F$7,1,0)</f>
        <v>1</v>
      </c>
      <c r="W6" s="8" t="n">
        <f aca="false">IF(W4&gt;=Assumptions!$F$7,1,0)</f>
        <v>1</v>
      </c>
      <c r="X6" s="8" t="n">
        <f aca="false">IF(X4&gt;=Assumptions!$F$7,1,0)</f>
        <v>1</v>
      </c>
      <c r="Y6" s="8" t="n">
        <f aca="false">IF(Y4&gt;=Assumptions!$F$7,1,0)</f>
        <v>1</v>
      </c>
      <c r="Z6" s="8" t="n">
        <f aca="false">IF(Z4&gt;=Assumptions!$F$7,1,0)</f>
        <v>1</v>
      </c>
      <c r="AA6" s="8" t="n">
        <f aca="false">IF(AA4&gt;=Assumptions!$F$7,1,0)</f>
        <v>1</v>
      </c>
      <c r="AB6" s="8" t="n">
        <f aca="false">IF(AB4&gt;=Assumptions!$F$7,1,0)</f>
        <v>1</v>
      </c>
      <c r="AC6" s="8" t="n">
        <f aca="false">IF(AC4&gt;=Assumptions!$F$7,1,0)</f>
        <v>1</v>
      </c>
      <c r="AD6" s="8" t="n">
        <f aca="false">IF(AD4&gt;=Assumptions!$F$7,1,0)</f>
        <v>1</v>
      </c>
      <c r="AE6" s="8" t="n">
        <f aca="false">IF(AE4&gt;=Assumptions!$F$7,1,0)</f>
        <v>1</v>
      </c>
      <c r="AF6" s="8" t="n">
        <f aca="false">IF(AF4&gt;=Assumptions!$F$7,1,0)</f>
        <v>1</v>
      </c>
      <c r="AG6" s="8" t="n">
        <f aca="false">IF(AG4&gt;=Assumptions!$F$7,1,0)</f>
        <v>1</v>
      </c>
      <c r="AH6" s="8" t="n">
        <f aca="false">IF(AH4&gt;=Assumptions!$F$7,1,0)</f>
        <v>1</v>
      </c>
      <c r="AI6" s="8" t="n">
        <f aca="false">IF(AI4&gt;=Assumptions!$F$7,1,0)</f>
        <v>1</v>
      </c>
      <c r="AJ6" s="8" t="n">
        <f aca="false">IF(AJ4&gt;=Assumptions!$F$7,1,0)</f>
        <v>1</v>
      </c>
      <c r="AK6" s="8" t="n">
        <f aca="false">IF(AK4&gt;=Assumptions!$F$7,1,0)</f>
        <v>1</v>
      </c>
      <c r="AL6" s="8" t="n">
        <f aca="false">IF(AL4&gt;=Assumptions!$F$7,1,0)</f>
        <v>1</v>
      </c>
    </row>
    <row r="8" customFormat="false" ht="15" hidden="false" customHeight="false" outlineLevel="0" collapsed="false">
      <c r="B8" s="2" t="s">
        <v>297</v>
      </c>
      <c r="C8" s="10" t="n">
        <f aca="false">0</f>
        <v>0</v>
      </c>
      <c r="D8" s="10" t="n">
        <f aca="false">C11</f>
        <v>0</v>
      </c>
      <c r="E8" s="10" t="n">
        <f aca="false">D11</f>
        <v>0</v>
      </c>
      <c r="F8" s="10" t="n">
        <f aca="false">E11</f>
        <v>0</v>
      </c>
      <c r="G8" s="10" t="n">
        <f aca="false">F11</f>
        <v>0</v>
      </c>
      <c r="H8" s="10" t="n">
        <f aca="false">G11</f>
        <v>0</v>
      </c>
      <c r="I8" s="10" t="n">
        <f aca="false">H11</f>
        <v>0</v>
      </c>
      <c r="J8" s="10" t="n">
        <f aca="false">I11</f>
        <v>0</v>
      </c>
      <c r="K8" s="10" t="n">
        <f aca="false">J11</f>
        <v>0</v>
      </c>
      <c r="L8" s="10" t="n">
        <f aca="false">K11</f>
        <v>2</v>
      </c>
      <c r="M8" s="10" t="n">
        <f aca="false">L11</f>
        <v>4</v>
      </c>
      <c r="N8" s="10" t="n">
        <f aca="false">M11</f>
        <v>6.0018</v>
      </c>
      <c r="O8" s="10" t="n">
        <f aca="false">N11</f>
        <v>8.0072</v>
      </c>
      <c r="P8" s="10" t="n">
        <f aca="false">O11</f>
        <v>10.01800162</v>
      </c>
      <c r="Q8" s="10" t="n">
        <f aca="false">P11</f>
        <v>12.03600972</v>
      </c>
      <c r="R8" s="10" t="n">
        <f aca="false">Q11</f>
        <v>14.063034021458</v>
      </c>
      <c r="S8" s="10" t="n">
        <f aca="false">R11</f>
        <v>16.100890731664</v>
      </c>
      <c r="T8" s="10" t="n">
        <f aca="false">S11</f>
        <v>18.1514041724893</v>
      </c>
      <c r="U8" s="10" t="n">
        <f aca="false">T11</f>
        <v>20.2164084149731</v>
      </c>
      <c r="V8" s="10" t="n">
        <f aca="false">U11</f>
        <v>22.2977489212122</v>
      </c>
      <c r="W8" s="10" t="n">
        <f aca="false">V11</f>
        <v>24.3972841950247</v>
      </c>
      <c r="X8" s="10" t="n">
        <f aca="false">W11</f>
        <v>26.5168874428663</v>
      </c>
      <c r="Y8" s="10" t="n">
        <f aca="false">X11</f>
        <v>28.6584482464835</v>
      </c>
      <c r="Z8" s="10" t="n">
        <f aca="false">Y11</f>
        <v>30.8238742487992</v>
      </c>
      <c r="AA8" s="10" t="n">
        <f aca="false">Z11</f>
        <v>33.0150928545367</v>
      </c>
      <c r="AB8" s="10" t="n">
        <f aca="false">AA11</f>
        <v>35.2340529470982</v>
      </c>
      <c r="AC8" s="10" t="n">
        <f aca="false">AB11</f>
        <v>37.4827266232288</v>
      </c>
      <c r="AD8" s="10" t="n">
        <f aca="false">AC11</f>
        <v>39.7631109470117</v>
      </c>
      <c r="AE8" s="10" t="n">
        <f aca="false">AD11</f>
        <v>42.0772297247556</v>
      </c>
      <c r="AF8" s="10" t="n">
        <f aca="false">AE11</f>
        <v>44.4271353023517</v>
      </c>
      <c r="AG8" s="10" t="n">
        <f aca="false">AF11</f>
        <v>46.8149103867002</v>
      </c>
      <c r="AH8" s="10" t="n">
        <f aca="false">AG11</f>
        <v>49.2426698928207</v>
      </c>
      <c r="AI8" s="10" t="n">
        <f aca="false">AH11</f>
        <v>51.7125628182893</v>
      </c>
      <c r="AJ8" s="10" t="n">
        <f aca="false">AI11</f>
        <v>54.2267741466615</v>
      </c>
      <c r="AK8" s="10" t="n">
        <f aca="false">AJ11</f>
        <v>56.78752678157</v>
      </c>
      <c r="AL8" s="10" t="n">
        <f aca="false">AK11</f>
        <v>59.3970835132106</v>
      </c>
    </row>
    <row r="9" customFormat="false" ht="15" hidden="false" customHeight="false" outlineLevel="0" collapsed="false">
      <c r="B9" s="2" t="s">
        <v>298</v>
      </c>
      <c r="C9" s="10" t="n">
        <f aca="false">IF(C6=1,MIN(Assumptions!$F$11,Assumptions!$F$9*(1+Assumptions!$F$10)^(C4-Assumptions!$F$7)),0)</f>
        <v>0</v>
      </c>
      <c r="D9" s="10" t="n">
        <f aca="false">IF(D6=1,MIN(Assumptions!$F$11,Assumptions!$F$9*(1+Assumptions!$F$10)^(D4-Assumptions!$F$7)),0)</f>
        <v>0</v>
      </c>
      <c r="E9" s="10" t="n">
        <f aca="false">IF(E6=1,MIN(Assumptions!$F$11,Assumptions!$F$9*(1+Assumptions!$F$10)^(E4-Assumptions!$F$7)),0)</f>
        <v>0</v>
      </c>
      <c r="F9" s="10" t="n">
        <f aca="false">IF(F6=1,MIN(Assumptions!$F$11,Assumptions!$F$9*(1+Assumptions!$F$10)^(F4-Assumptions!$F$7)),0)</f>
        <v>0</v>
      </c>
      <c r="G9" s="10" t="n">
        <f aca="false">IF(G6=1,MIN(Assumptions!$F$11,Assumptions!$F$9*(1+Assumptions!$F$10)^(G4-Assumptions!$F$7)),0)</f>
        <v>0</v>
      </c>
      <c r="H9" s="10" t="n">
        <f aca="false">IF(H6=1,MIN(Assumptions!$F$11,Assumptions!$F$9*(1+Assumptions!$F$10)^(H4-Assumptions!$F$7)),0)</f>
        <v>0</v>
      </c>
      <c r="I9" s="10" t="n">
        <f aca="false">IF(I6=1,MIN(Assumptions!$F$11,Assumptions!$F$9*(1+Assumptions!$F$10)^(I4-Assumptions!$F$7)),0)</f>
        <v>0</v>
      </c>
      <c r="J9" s="10" t="n">
        <f aca="false">IF(J6=1,MIN(Assumptions!$F$11,Assumptions!$F$9*(1+Assumptions!$F$10)^(J4-Assumptions!$F$7)),0)</f>
        <v>0</v>
      </c>
      <c r="K9" s="10" t="n">
        <f aca="false">IF(K6=1,MIN(Assumptions!$F$11,Assumptions!$F$9*(1+Assumptions!$F$10)^(K4-Assumptions!$F$7)),0)</f>
        <v>2</v>
      </c>
      <c r="L9" s="10" t="n">
        <f aca="false">IF(L6=1,MIN(Assumptions!$F$11,Assumptions!$F$9*(1+Assumptions!$F$10)^(L4-Assumptions!$F$7)),0)</f>
        <v>2.06</v>
      </c>
      <c r="M9" s="10" t="n">
        <f aca="false">IF(M6=1,MIN(Assumptions!$F$11,Assumptions!$F$9*(1+Assumptions!$F$10)^(M4-Assumptions!$F$7)),0)</f>
        <v>2.1218</v>
      </c>
      <c r="N9" s="10" t="n">
        <f aca="false">IF(N6=1,MIN(Assumptions!$F$11,Assumptions!$F$9*(1+Assumptions!$F$10)^(N4-Assumptions!$F$7)),0)</f>
        <v>2.185454</v>
      </c>
      <c r="O9" s="10" t="n">
        <f aca="false">IF(O6=1,MIN(Assumptions!$F$11,Assumptions!$F$9*(1+Assumptions!$F$10)^(O4-Assumptions!$F$7)),0)</f>
        <v>2.25101762</v>
      </c>
      <c r="P9" s="10" t="n">
        <f aca="false">IF(P6=1,MIN(Assumptions!$F$11,Assumptions!$F$9*(1+Assumptions!$F$10)^(P4-Assumptions!$F$7)),0)</f>
        <v>2.3185481486</v>
      </c>
      <c r="Q9" s="10" t="n">
        <f aca="false">IF(Q6=1,MIN(Assumptions!$F$11,Assumptions!$F$9*(1+Assumptions!$F$10)^(Q4-Assumptions!$F$7)),0)</f>
        <v>2.388104593058</v>
      </c>
      <c r="R9" s="10" t="n">
        <f aca="false">IF(R6=1,MIN(Assumptions!$F$11,Assumptions!$F$9*(1+Assumptions!$F$10)^(R4-Assumptions!$F$7)),0)</f>
        <v>2.45974773084974</v>
      </c>
      <c r="S9" s="10" t="n">
        <f aca="false">IF(S6=1,MIN(Assumptions!$F$11,Assumptions!$F$9*(1+Assumptions!$F$10)^(S4-Assumptions!$F$7)),0)</f>
        <v>2.53354016277523</v>
      </c>
      <c r="T9" s="10" t="n">
        <f aca="false">IF(T6=1,MIN(Assumptions!$F$11,Assumptions!$F$9*(1+Assumptions!$F$10)^(T4-Assumptions!$F$7)),0)</f>
        <v>2.60954636765849</v>
      </c>
      <c r="U9" s="10" t="n">
        <f aca="false">IF(U6=1,MIN(Assumptions!$F$11,Assumptions!$F$9*(1+Assumptions!$F$10)^(U4-Assumptions!$F$7)),0)</f>
        <v>2.68783275868824</v>
      </c>
      <c r="V9" s="10" t="n">
        <f aca="false">IF(V6=1,MIN(Assumptions!$F$11,Assumptions!$F$9*(1+Assumptions!$F$10)^(V4-Assumptions!$F$7)),0)</f>
        <v>2.76846774144889</v>
      </c>
      <c r="W9" s="10" t="n">
        <f aca="false">IF(W6=1,MIN(Assumptions!$F$11,Assumptions!$F$9*(1+Assumptions!$F$10)^(W4-Assumptions!$F$7)),0)</f>
        <v>2.85152177369236</v>
      </c>
      <c r="X9" s="10" t="n">
        <f aca="false">IF(X6=1,MIN(Assumptions!$F$11,Assumptions!$F$9*(1+Assumptions!$F$10)^(X4-Assumptions!$F$7)),0)</f>
        <v>2.93706742690313</v>
      </c>
      <c r="Y9" s="10" t="n">
        <f aca="false">IF(Y6=1,MIN(Assumptions!$F$11,Assumptions!$F$9*(1+Assumptions!$F$10)^(Y4-Assumptions!$F$7)),0)</f>
        <v>3.02517944971022</v>
      </c>
      <c r="Z9" s="10" t="n">
        <f aca="false">IF(Z6=1,MIN(Assumptions!$F$11,Assumptions!$F$9*(1+Assumptions!$F$10)^(Z4-Assumptions!$F$7)),0)</f>
        <v>3.11593483320153</v>
      </c>
      <c r="AA9" s="10" t="n">
        <f aca="false">IF(AA6=1,MIN(Assumptions!$F$11,Assumptions!$F$9*(1+Assumptions!$F$10)^(AA4-Assumptions!$F$7)),0)</f>
        <v>3.20941287819758</v>
      </c>
      <c r="AB9" s="10" t="n">
        <f aca="false">IF(AB6=1,MIN(Assumptions!$F$11,Assumptions!$F$9*(1+Assumptions!$F$10)^(AB4-Assumptions!$F$7)),0)</f>
        <v>3.3056952645435</v>
      </c>
      <c r="AC9" s="10" t="n">
        <f aca="false">IF(AC6=1,MIN(Assumptions!$F$11,Assumptions!$F$9*(1+Assumptions!$F$10)^(AC4-Assumptions!$F$7)),0)</f>
        <v>3.40486612247981</v>
      </c>
      <c r="AD9" s="10" t="n">
        <f aca="false">IF(AD6=1,MIN(Assumptions!$F$11,Assumptions!$F$9*(1+Assumptions!$F$10)^(AD4-Assumptions!$F$7)),0)</f>
        <v>3.5070121061542</v>
      </c>
      <c r="AE9" s="10" t="n">
        <f aca="false">IF(AE6=1,MIN(Assumptions!$F$11,Assumptions!$F$9*(1+Assumptions!$F$10)^(AE4-Assumptions!$F$7)),0)</f>
        <v>3.61222246933883</v>
      </c>
      <c r="AF9" s="10" t="n">
        <f aca="false">IF(AF6=1,MIN(Assumptions!$F$11,Assumptions!$F$9*(1+Assumptions!$F$10)^(AF4-Assumptions!$F$7)),0)</f>
        <v>3.72058914341899</v>
      </c>
      <c r="AG9" s="10" t="n">
        <f aca="false">IF(AG6=1,MIN(Assumptions!$F$11,Assumptions!$F$9*(1+Assumptions!$F$10)^(AG4-Assumptions!$F$7)),0)</f>
        <v>3.83220681772156</v>
      </c>
      <c r="AH9" s="10" t="n">
        <f aca="false">IF(AH6=1,MIN(Assumptions!$F$11,Assumptions!$F$9*(1+Assumptions!$F$10)^(AH4-Assumptions!$F$7)),0)</f>
        <v>3.94717302225321</v>
      </c>
      <c r="AI9" s="10" t="n">
        <f aca="false">IF(AI6=1,MIN(Assumptions!$F$11,Assumptions!$F$9*(1+Assumptions!$F$10)^(AI4-Assumptions!$F$7)),0)</f>
        <v>4.06558821292081</v>
      </c>
      <c r="AJ9" s="10" t="n">
        <f aca="false">IF(AJ6=1,MIN(Assumptions!$F$11,Assumptions!$F$9*(1+Assumptions!$F$10)^(AJ4-Assumptions!$F$7)),0)</f>
        <v>4.18755585930843</v>
      </c>
      <c r="AK9" s="10" t="n">
        <f aca="false">IF(AK6=1,MIN(Assumptions!$F$11,Assumptions!$F$9*(1+Assumptions!$F$10)^(AK4-Assumptions!$F$7)),0)</f>
        <v>4.31318253508769</v>
      </c>
      <c r="AL9" s="10" t="n">
        <f aca="false">IF(AL6=1,MIN(Assumptions!$F$11,Assumptions!$F$9*(1+Assumptions!$F$10)^(AL4-Assumptions!$F$7)),0)</f>
        <v>4.44257801114032</v>
      </c>
    </row>
    <row r="10" customFormat="false" ht="15" hidden="false" customHeight="false" outlineLevel="0" collapsed="false">
      <c r="B10" s="2" t="s">
        <v>299</v>
      </c>
      <c r="C10" s="10" t="n">
        <f aca="false">C8*Assumptions!$F$12</f>
        <v>0</v>
      </c>
      <c r="D10" s="10" t="n">
        <f aca="false">D8*Assumptions!$F$12</f>
        <v>0</v>
      </c>
      <c r="E10" s="10" t="n">
        <f aca="false">E8*Assumptions!$F$12</f>
        <v>0</v>
      </c>
      <c r="F10" s="10" t="n">
        <f aca="false">F8*Assumptions!$F$12</f>
        <v>0</v>
      </c>
      <c r="G10" s="10" t="n">
        <f aca="false">G8*Assumptions!$F$12</f>
        <v>0</v>
      </c>
      <c r="H10" s="10" t="n">
        <f aca="false">H8*Assumptions!$F$12</f>
        <v>0</v>
      </c>
      <c r="I10" s="10" t="n">
        <f aca="false">I8*Assumptions!$F$12</f>
        <v>0</v>
      </c>
      <c r="J10" s="10" t="n">
        <f aca="false">J8*Assumptions!$F$12</f>
        <v>0</v>
      </c>
      <c r="K10" s="10" t="n">
        <f aca="false">K8*Assumptions!$F$12</f>
        <v>0</v>
      </c>
      <c r="L10" s="10" t="n">
        <f aca="false">L8*Assumptions!$F$12</f>
        <v>0.06</v>
      </c>
      <c r="M10" s="10" t="n">
        <f aca="false">M8*Assumptions!$F$12</f>
        <v>0.12</v>
      </c>
      <c r="N10" s="10" t="n">
        <f aca="false">N8*Assumptions!$F$12</f>
        <v>0.180054</v>
      </c>
      <c r="O10" s="10" t="n">
        <f aca="false">O8*Assumptions!$F$12</f>
        <v>0.240216</v>
      </c>
      <c r="P10" s="10" t="n">
        <f aca="false">P8*Assumptions!$F$12</f>
        <v>0.3005400486</v>
      </c>
      <c r="Q10" s="10" t="n">
        <f aca="false">Q8*Assumptions!$F$12</f>
        <v>0.3610802916</v>
      </c>
      <c r="R10" s="10" t="n">
        <f aca="false">R8*Assumptions!$F$12</f>
        <v>0.42189102064374</v>
      </c>
      <c r="S10" s="10" t="n">
        <f aca="false">S8*Assumptions!$F$12</f>
        <v>0.48302672194992</v>
      </c>
      <c r="T10" s="10" t="n">
        <f aca="false">T8*Assumptions!$F$12</f>
        <v>0.544542125174679</v>
      </c>
      <c r="U10" s="10" t="n">
        <f aca="false">U8*Assumptions!$F$12</f>
        <v>0.606492252449194</v>
      </c>
      <c r="V10" s="10" t="n">
        <f aca="false">V8*Assumptions!$F$12</f>
        <v>0.668932467636365</v>
      </c>
      <c r="W10" s="10" t="n">
        <f aca="false">W8*Assumptions!$F$12</f>
        <v>0.731918525850741</v>
      </c>
      <c r="X10" s="10" t="n">
        <f aca="false">X8*Assumptions!$F$12</f>
        <v>0.795506623285989</v>
      </c>
      <c r="Y10" s="10" t="n">
        <f aca="false">Y8*Assumptions!$F$12</f>
        <v>0.859753447394504</v>
      </c>
      <c r="Z10" s="10" t="n">
        <f aca="false">Z8*Assumptions!$F$12</f>
        <v>0.924716227463975</v>
      </c>
      <c r="AA10" s="10" t="n">
        <f aca="false">AA8*Assumptions!$F$12</f>
        <v>0.990452785636102</v>
      </c>
      <c r="AB10" s="10" t="n">
        <f aca="false">AB8*Assumptions!$F$12</f>
        <v>1.05702158841295</v>
      </c>
      <c r="AC10" s="10" t="n">
        <f aca="false">AC8*Assumptions!$F$12</f>
        <v>1.12448179869686</v>
      </c>
      <c r="AD10" s="10" t="n">
        <f aca="false">AD8*Assumptions!$F$12</f>
        <v>1.19289332841035</v>
      </c>
      <c r="AE10" s="10" t="n">
        <f aca="false">AE8*Assumptions!$F$12</f>
        <v>1.26231689174267</v>
      </c>
      <c r="AF10" s="10" t="n">
        <f aca="false">AF8*Assumptions!$F$12</f>
        <v>1.33281405907055</v>
      </c>
      <c r="AG10" s="10" t="n">
        <f aca="false">AG8*Assumptions!$F$12</f>
        <v>1.40444731160101</v>
      </c>
      <c r="AH10" s="10" t="n">
        <f aca="false">AH8*Assumptions!$F$12</f>
        <v>1.47728009678462</v>
      </c>
      <c r="AI10" s="10" t="n">
        <f aca="false">AI8*Assumptions!$F$12</f>
        <v>1.55137688454868</v>
      </c>
      <c r="AJ10" s="10" t="n">
        <f aca="false">AJ8*Assumptions!$F$12</f>
        <v>1.62680322439984</v>
      </c>
      <c r="AK10" s="10" t="n">
        <f aca="false">AK8*Assumptions!$F$12</f>
        <v>1.7036258034471</v>
      </c>
      <c r="AL10" s="10" t="n">
        <f aca="false">AL8*Assumptions!$F$12</f>
        <v>1.78191250539632</v>
      </c>
    </row>
    <row r="11" customFormat="false" ht="15" hidden="false" customHeight="false" outlineLevel="0" collapsed="false">
      <c r="B11" s="14" t="s">
        <v>300</v>
      </c>
      <c r="C11" s="31" t="n">
        <f aca="false">C8+C9-C10</f>
        <v>0</v>
      </c>
      <c r="D11" s="31" t="n">
        <f aca="false">D8+D9-D10</f>
        <v>0</v>
      </c>
      <c r="E11" s="31" t="n">
        <f aca="false">E8+E9-E10</f>
        <v>0</v>
      </c>
      <c r="F11" s="31" t="n">
        <f aca="false">F8+F9-F10</f>
        <v>0</v>
      </c>
      <c r="G11" s="31" t="n">
        <f aca="false">G8+G9-G10</f>
        <v>0</v>
      </c>
      <c r="H11" s="31" t="n">
        <f aca="false">H8+H9-H10</f>
        <v>0</v>
      </c>
      <c r="I11" s="31" t="n">
        <f aca="false">I8+I9-I10</f>
        <v>0</v>
      </c>
      <c r="J11" s="31" t="n">
        <f aca="false">J8+J9-J10</f>
        <v>0</v>
      </c>
      <c r="K11" s="31" t="n">
        <f aca="false">K8+K9-K10</f>
        <v>2</v>
      </c>
      <c r="L11" s="31" t="n">
        <f aca="false">L8+L9-L10</f>
        <v>4</v>
      </c>
      <c r="M11" s="31" t="n">
        <f aca="false">M8+M9-M10</f>
        <v>6.0018</v>
      </c>
      <c r="N11" s="31" t="n">
        <f aca="false">N8+N9-N10</f>
        <v>8.0072</v>
      </c>
      <c r="O11" s="31" t="n">
        <f aca="false">O8+O9-O10</f>
        <v>10.01800162</v>
      </c>
      <c r="P11" s="31" t="n">
        <f aca="false">P8+P9-P10</f>
        <v>12.03600972</v>
      </c>
      <c r="Q11" s="31" t="n">
        <f aca="false">Q8+Q9-Q10</f>
        <v>14.063034021458</v>
      </c>
      <c r="R11" s="31" t="n">
        <f aca="false">R8+R9-R10</f>
        <v>16.100890731664</v>
      </c>
      <c r="S11" s="31" t="n">
        <f aca="false">S8+S9-S10</f>
        <v>18.1514041724893</v>
      </c>
      <c r="T11" s="31" t="n">
        <f aca="false">T8+T9-T10</f>
        <v>20.2164084149731</v>
      </c>
      <c r="U11" s="31" t="n">
        <f aca="false">U8+U9-U10</f>
        <v>22.2977489212122</v>
      </c>
      <c r="V11" s="31" t="n">
        <f aca="false">V8+V9-V10</f>
        <v>24.3972841950247</v>
      </c>
      <c r="W11" s="31" t="n">
        <f aca="false">W8+W9-W10</f>
        <v>26.5168874428663</v>
      </c>
      <c r="X11" s="31" t="n">
        <f aca="false">X8+X9-X10</f>
        <v>28.6584482464835</v>
      </c>
      <c r="Y11" s="31" t="n">
        <f aca="false">Y8+Y9-Y10</f>
        <v>30.8238742487992</v>
      </c>
      <c r="Z11" s="31" t="n">
        <f aca="false">Z8+Z9-Z10</f>
        <v>33.0150928545367</v>
      </c>
      <c r="AA11" s="31" t="n">
        <f aca="false">AA8+AA9-AA10</f>
        <v>35.2340529470982</v>
      </c>
      <c r="AB11" s="31" t="n">
        <f aca="false">AB8+AB9-AB10</f>
        <v>37.4827266232288</v>
      </c>
      <c r="AC11" s="31" t="n">
        <f aca="false">AC8+AC9-AC10</f>
        <v>39.7631109470117</v>
      </c>
      <c r="AD11" s="31" t="n">
        <f aca="false">AD8+AD9-AD10</f>
        <v>42.0772297247556</v>
      </c>
      <c r="AE11" s="31" t="n">
        <f aca="false">AE8+AE9-AE10</f>
        <v>44.4271353023517</v>
      </c>
      <c r="AF11" s="31" t="n">
        <f aca="false">AF8+AF9-AF10</f>
        <v>46.8149103867002</v>
      </c>
      <c r="AG11" s="31" t="n">
        <f aca="false">AG8+AG9-AG10</f>
        <v>49.2426698928207</v>
      </c>
      <c r="AH11" s="31" t="n">
        <f aca="false">AH8+AH9-AH10</f>
        <v>51.7125628182893</v>
      </c>
      <c r="AI11" s="31" t="n">
        <f aca="false">AI8+AI9-AI10</f>
        <v>54.2267741466615</v>
      </c>
      <c r="AJ11" s="31" t="n">
        <f aca="false">AJ8+AJ9-AJ10</f>
        <v>56.78752678157</v>
      </c>
      <c r="AK11" s="31" t="n">
        <f aca="false">AK8+AK9-AK10</f>
        <v>59.3970835132106</v>
      </c>
      <c r="AL11" s="31" t="n">
        <f aca="false">AL8+AL9-AL10</f>
        <v>62.0577490189546</v>
      </c>
    </row>
    <row r="12" customFormat="false" ht="15" hidden="false" customHeight="false" outlineLevel="0" collapsed="false">
      <c r="B12" s="2" t="s">
        <v>301</v>
      </c>
      <c r="C12" s="10" t="n">
        <f aca="false">C11*Pricing!$C$27</f>
        <v>0</v>
      </c>
      <c r="D12" s="10" t="n">
        <f aca="false">D11*Pricing!$C$27</f>
        <v>0</v>
      </c>
      <c r="E12" s="10" t="n">
        <f aca="false">E11*Pricing!$C$27</f>
        <v>0</v>
      </c>
      <c r="F12" s="10" t="n">
        <f aca="false">F11*Pricing!$C$27</f>
        <v>0</v>
      </c>
      <c r="G12" s="10" t="n">
        <f aca="false">G11*Pricing!$C$27</f>
        <v>0</v>
      </c>
      <c r="H12" s="10" t="n">
        <f aca="false">H11*Pricing!$C$27</f>
        <v>0</v>
      </c>
      <c r="I12" s="10" t="n">
        <f aca="false">I11*Pricing!$C$27</f>
        <v>0</v>
      </c>
      <c r="J12" s="10" t="n">
        <f aca="false">J11*Pricing!$C$27</f>
        <v>0</v>
      </c>
      <c r="K12" s="10" t="n">
        <f aca="false">K11*Pricing!$C$27</f>
        <v>4.72</v>
      </c>
      <c r="L12" s="10" t="n">
        <f aca="false">L11*Pricing!$C$27</f>
        <v>9.44</v>
      </c>
      <c r="M12" s="10" t="n">
        <f aca="false">M11*Pricing!$C$27</f>
        <v>14.164248</v>
      </c>
      <c r="N12" s="10" t="n">
        <f aca="false">N11*Pricing!$C$27</f>
        <v>18.896992</v>
      </c>
      <c r="O12" s="10" t="n">
        <f aca="false">O11*Pricing!$C$27</f>
        <v>23.6424838232</v>
      </c>
      <c r="P12" s="10" t="n">
        <f aca="false">P11*Pricing!$C$27</f>
        <v>28.4049829392</v>
      </c>
      <c r="Q12" s="10" t="n">
        <f aca="false">Q11*Pricing!$C$27</f>
        <v>33.1887602906409</v>
      </c>
      <c r="R12" s="10" t="n">
        <f aca="false">R11*Pricing!$C$27</f>
        <v>37.998102126727</v>
      </c>
      <c r="S12" s="10" t="n">
        <f aca="false">S11*Pricing!$C$27</f>
        <v>42.8373138470748</v>
      </c>
      <c r="T12" s="10" t="n">
        <f aca="false">T11*Pricing!$C$27</f>
        <v>47.7107238593366</v>
      </c>
      <c r="U12" s="10" t="n">
        <f aca="false">U11*Pricing!$C$27</f>
        <v>52.6226874540607</v>
      </c>
      <c r="V12" s="10" t="n">
        <f aca="false">V11*Pricing!$C$27</f>
        <v>57.5775907002583</v>
      </c>
      <c r="W12" s="10" t="n">
        <f aca="false">W11*Pricing!$C$27</f>
        <v>62.5798543651645</v>
      </c>
      <c r="X12" s="10" t="n">
        <f aca="false">X11*Pricing!$C$27</f>
        <v>67.633937861701</v>
      </c>
      <c r="Y12" s="10" t="n">
        <f aca="false">Y11*Pricing!$C$27</f>
        <v>72.7443432271661</v>
      </c>
      <c r="Z12" s="10" t="n">
        <f aca="false">Z11*Pricing!$C$27</f>
        <v>77.9156191367067</v>
      </c>
      <c r="AA12" s="10" t="n">
        <f aca="false">AA11*Pricing!$C$27</f>
        <v>83.1523649551518</v>
      </c>
      <c r="AB12" s="10" t="n">
        <f aca="false">AB11*Pricing!$C$27</f>
        <v>88.4592348308199</v>
      </c>
      <c r="AC12" s="10" t="n">
        <f aca="false">AC11*Pricing!$C$27</f>
        <v>93.8409418349476</v>
      </c>
      <c r="AD12" s="10" t="n">
        <f aca="false">AD11*Pricing!$C$27</f>
        <v>99.3022621504231</v>
      </c>
      <c r="AE12" s="10" t="n">
        <f aca="false">AE11*Pricing!$C$27</f>
        <v>104.84803931355</v>
      </c>
      <c r="AF12" s="10" t="n">
        <f aca="false">AF11*Pricing!$C$27</f>
        <v>110.483188512612</v>
      </c>
      <c r="AG12" s="10" t="n">
        <f aca="false">AG11*Pricing!$C$27</f>
        <v>116.212700947057</v>
      </c>
      <c r="AH12" s="10" t="n">
        <f aca="false">AH11*Pricing!$C$27</f>
        <v>122.041648251163</v>
      </c>
      <c r="AI12" s="10" t="n">
        <f aca="false">AI11*Pricing!$C$27</f>
        <v>127.975186986121</v>
      </c>
      <c r="AJ12" s="10" t="n">
        <f aca="false">AJ11*Pricing!$C$27</f>
        <v>134.018563204505</v>
      </c>
      <c r="AK12" s="10" t="n">
        <f aca="false">AK11*Pricing!$C$27</f>
        <v>140.177117091177</v>
      </c>
      <c r="AL12" s="10" t="n">
        <f aca="false">AL11*Pricing!$C$27</f>
        <v>146.456287684733</v>
      </c>
    </row>
    <row r="14" customFormat="false" ht="15" hidden="false" customHeight="false" outlineLevel="0" collapsed="false">
      <c r="B14" s="2" t="s">
        <v>302</v>
      </c>
      <c r="C14" s="6" t="n">
        <f aca="false">C11*Pricing!$C$26</f>
        <v>0</v>
      </c>
      <c r="D14" s="6" t="n">
        <f aca="false">D11*Pricing!$C$26</f>
        <v>0</v>
      </c>
      <c r="E14" s="6" t="n">
        <f aca="false">E11*Pricing!$C$26</f>
        <v>0</v>
      </c>
      <c r="F14" s="6" t="n">
        <f aca="false">F11*Pricing!$C$26</f>
        <v>0</v>
      </c>
      <c r="G14" s="6" t="n">
        <f aca="false">G11*Pricing!$C$26</f>
        <v>0</v>
      </c>
      <c r="H14" s="6" t="n">
        <f aca="false">H11*Pricing!$C$26</f>
        <v>0</v>
      </c>
      <c r="I14" s="6" t="n">
        <f aca="false">I11*Pricing!$C$26</f>
        <v>0</v>
      </c>
      <c r="J14" s="6" t="n">
        <f aca="false">J11*Pricing!$C$26</f>
        <v>0</v>
      </c>
      <c r="K14" s="6" t="n">
        <f aca="false">K11*Pricing!$C$26</f>
        <v>2198</v>
      </c>
      <c r="L14" s="6" t="n">
        <f aca="false">L11*Pricing!$C$26</f>
        <v>4396</v>
      </c>
      <c r="M14" s="6" t="n">
        <f aca="false">M11*Pricing!$C$26</f>
        <v>6595.9782</v>
      </c>
      <c r="N14" s="6" t="n">
        <f aca="false">N11*Pricing!$C$26</f>
        <v>8799.9128</v>
      </c>
      <c r="O14" s="6" t="n">
        <f aca="false">O11*Pricing!$C$26</f>
        <v>11009.78378038</v>
      </c>
      <c r="P14" s="6" t="n">
        <f aca="false">P11*Pricing!$C$26</f>
        <v>13227.57468228</v>
      </c>
      <c r="Q14" s="6" t="n">
        <f aca="false">Q11*Pricing!$C$26</f>
        <v>15455.2743895823</v>
      </c>
      <c r="R14" s="6" t="n">
        <f aca="false">R11*Pricing!$C$26</f>
        <v>17694.8789140987</v>
      </c>
      <c r="S14" s="6" t="n">
        <f aca="false">S11*Pricing!$C$26</f>
        <v>19948.3931855658</v>
      </c>
      <c r="T14" s="6" t="n">
        <f aca="false">T11*Pricing!$C$26</f>
        <v>22217.8328480555</v>
      </c>
      <c r="U14" s="6" t="n">
        <f aca="false">U11*Pricing!$C$26</f>
        <v>24505.2260644122</v>
      </c>
      <c r="V14" s="6" t="n">
        <f aca="false">V11*Pricing!$C$26</f>
        <v>26812.6153303321</v>
      </c>
      <c r="W14" s="6" t="n">
        <f aca="false">W11*Pricing!$C$26</f>
        <v>29142.0592997101</v>
      </c>
      <c r="X14" s="6" t="n">
        <f aca="false">X11*Pricing!$C$26</f>
        <v>31495.6346228853</v>
      </c>
      <c r="Y14" s="6" t="n">
        <f aca="false">Y11*Pricing!$C$26</f>
        <v>33875.4377994303</v>
      </c>
      <c r="Z14" s="6" t="n">
        <f aca="false">Z11*Pricing!$C$26</f>
        <v>36283.5870471359</v>
      </c>
      <c r="AA14" s="6" t="n">
        <f aca="false">AA11*Pricing!$C$26</f>
        <v>38722.2241888609</v>
      </c>
      <c r="AB14" s="6" t="n">
        <f aca="false">AB11*Pricing!$C$26</f>
        <v>41193.5165589284</v>
      </c>
      <c r="AC14" s="6" t="n">
        <f aca="false">AC11*Pricing!$C$26</f>
        <v>43699.6589307659</v>
      </c>
      <c r="AD14" s="6" t="n">
        <f aca="false">AD11*Pricing!$C$26</f>
        <v>46242.8754675064</v>
      </c>
      <c r="AE14" s="6" t="n">
        <f aca="false">AE11*Pricing!$C$26</f>
        <v>48825.4216972846</v>
      </c>
      <c r="AF14" s="6" t="n">
        <f aca="false">AF11*Pricing!$C$26</f>
        <v>51449.5865149835</v>
      </c>
      <c r="AG14" s="6" t="n">
        <f aca="false">AG11*Pricing!$C$26</f>
        <v>54117.69421221</v>
      </c>
      <c r="AH14" s="6" t="n">
        <f aca="false">AH11*Pricing!$C$26</f>
        <v>56832.1065373</v>
      </c>
      <c r="AI14" s="6" t="n">
        <f aca="false">AI11*Pricing!$C$26</f>
        <v>59595.2247871809</v>
      </c>
      <c r="AJ14" s="6" t="n">
        <f aca="false">AJ11*Pricing!$C$26</f>
        <v>62409.4919329455</v>
      </c>
      <c r="AK14" s="6" t="n">
        <f aca="false">AK11*Pricing!$C$26</f>
        <v>65277.3947810185</v>
      </c>
      <c r="AL14" s="6" t="n">
        <f aca="false">AL11*Pricing!$C$26</f>
        <v>68201.4661718311</v>
      </c>
    </row>
    <row r="15" customFormat="false" ht="15" hidden="false" customHeight="false" outlineLevel="0" collapsed="false">
      <c r="B15" s="2" t="s">
        <v>303</v>
      </c>
      <c r="C15" s="6" t="n">
        <f aca="false">C9*Pricing!$C$28</f>
        <v>0</v>
      </c>
      <c r="D15" s="6" t="n">
        <f aca="false">D9*Pricing!$C$28</f>
        <v>0</v>
      </c>
      <c r="E15" s="6" t="n">
        <f aca="false">E9*Pricing!$C$28</f>
        <v>0</v>
      </c>
      <c r="F15" s="6" t="n">
        <f aca="false">F9*Pricing!$C$28</f>
        <v>0</v>
      </c>
      <c r="G15" s="6" t="n">
        <f aca="false">G9*Pricing!$C$28</f>
        <v>0</v>
      </c>
      <c r="H15" s="6" t="n">
        <f aca="false">H9*Pricing!$C$28</f>
        <v>0</v>
      </c>
      <c r="I15" s="6" t="n">
        <f aca="false">I9*Pricing!$C$28</f>
        <v>0</v>
      </c>
      <c r="J15" s="6" t="n">
        <f aca="false">J9*Pricing!$C$28</f>
        <v>0</v>
      </c>
      <c r="K15" s="6" t="n">
        <f aca="false">K9*Pricing!$C$28</f>
        <v>720</v>
      </c>
      <c r="L15" s="6" t="n">
        <f aca="false">L9*Pricing!$C$28</f>
        <v>741.6</v>
      </c>
      <c r="M15" s="6" t="n">
        <f aca="false">M9*Pricing!$C$28</f>
        <v>763.848</v>
      </c>
      <c r="N15" s="6" t="n">
        <f aca="false">N9*Pricing!$C$28</f>
        <v>786.76344</v>
      </c>
      <c r="O15" s="6" t="n">
        <f aca="false">O9*Pricing!$C$28</f>
        <v>810.3663432</v>
      </c>
      <c r="P15" s="6" t="n">
        <f aca="false">P9*Pricing!$C$28</f>
        <v>834.677333496</v>
      </c>
      <c r="Q15" s="6" t="n">
        <f aca="false">Q9*Pricing!$C$28</f>
        <v>859.71765350088</v>
      </c>
      <c r="R15" s="6" t="n">
        <f aca="false">R9*Pricing!$C$28</f>
        <v>885.509183105907</v>
      </c>
      <c r="S15" s="6" t="n">
        <f aca="false">S9*Pricing!$C$28</f>
        <v>912.074458599084</v>
      </c>
      <c r="T15" s="6" t="n">
        <f aca="false">T9*Pricing!$C$28</f>
        <v>939.436692357056</v>
      </c>
      <c r="U15" s="6" t="n">
        <f aca="false">U9*Pricing!$C$28</f>
        <v>967.619793127768</v>
      </c>
      <c r="V15" s="6" t="n">
        <f aca="false">V9*Pricing!$C$28</f>
        <v>996.648386921601</v>
      </c>
      <c r="W15" s="6" t="n">
        <f aca="false">W9*Pricing!$C$28</f>
        <v>1026.54783852925</v>
      </c>
      <c r="X15" s="6" t="n">
        <f aca="false">X9*Pricing!$C$28</f>
        <v>1057.34427368513</v>
      </c>
      <c r="Y15" s="6" t="n">
        <f aca="false">Y9*Pricing!$C$28</f>
        <v>1089.06460189568</v>
      </c>
      <c r="Z15" s="6" t="n">
        <f aca="false">Z9*Pricing!$C$28</f>
        <v>1121.73653995255</v>
      </c>
      <c r="AA15" s="6" t="n">
        <f aca="false">AA9*Pricing!$C$28</f>
        <v>1155.38863615113</v>
      </c>
      <c r="AB15" s="6" t="n">
        <f aca="false">AB9*Pricing!$C$28</f>
        <v>1190.05029523566</v>
      </c>
      <c r="AC15" s="6" t="n">
        <f aca="false">AC9*Pricing!$C$28</f>
        <v>1225.75180409273</v>
      </c>
      <c r="AD15" s="6" t="n">
        <f aca="false">AD9*Pricing!$C$28</f>
        <v>1262.52435821551</v>
      </c>
      <c r="AE15" s="6" t="n">
        <f aca="false">AE9*Pricing!$C$28</f>
        <v>1300.40008896198</v>
      </c>
      <c r="AF15" s="6" t="n">
        <f aca="false">AF9*Pricing!$C$28</f>
        <v>1339.41209163084</v>
      </c>
      <c r="AG15" s="6" t="n">
        <f aca="false">AG9*Pricing!$C$28</f>
        <v>1379.59445437976</v>
      </c>
      <c r="AH15" s="6" t="n">
        <f aca="false">AH9*Pricing!$C$28</f>
        <v>1420.98228801116</v>
      </c>
      <c r="AI15" s="6" t="n">
        <f aca="false">AI9*Pricing!$C$28</f>
        <v>1463.61175665149</v>
      </c>
      <c r="AJ15" s="6" t="n">
        <f aca="false">AJ9*Pricing!$C$28</f>
        <v>1507.52010935104</v>
      </c>
      <c r="AK15" s="6" t="n">
        <f aca="false">AK9*Pricing!$C$28</f>
        <v>1552.74571263157</v>
      </c>
      <c r="AL15" s="6" t="n">
        <f aca="false">AL9*Pricing!$C$28</f>
        <v>1599.32808401051</v>
      </c>
    </row>
    <row r="16" customFormat="false" ht="15" hidden="false" customHeight="false" outlineLevel="0" collapsed="false">
      <c r="B16" s="2" t="s">
        <v>304</v>
      </c>
      <c r="C16" s="6" t="n">
        <f aca="false">IF(C4&gt;Assumptions!$F$39,INDEX($C$11:$AL$11,C4-Assumptions!$F$39),0)*Pricing!$C$29*Assumptions!$F$38*Assumptions!$F$37</f>
        <v>0</v>
      </c>
      <c r="D16" s="6" t="n">
        <f aca="false">IF(D4&gt;Assumptions!$F$39,INDEX($C$11:$AL$11,D4-Assumptions!$F$39),0)*Pricing!$C$29*Assumptions!$F$38*Assumptions!$F$37</f>
        <v>0</v>
      </c>
      <c r="E16" s="6" t="n">
        <f aca="false">IF(E4&gt;Assumptions!$F$39,INDEX($C$11:$AL$11,E4-Assumptions!$F$39),0)*Pricing!$C$29*Assumptions!$F$38*Assumptions!$F$37</f>
        <v>0</v>
      </c>
      <c r="F16" s="6" t="n">
        <f aca="false">IF(F4&gt;Assumptions!$F$39,INDEX($C$11:$AL$11,F4-Assumptions!$F$39),0)*Pricing!$C$29*Assumptions!$F$38*Assumptions!$F$37</f>
        <v>0</v>
      </c>
      <c r="G16" s="6" t="n">
        <f aca="false">IF(G4&gt;Assumptions!$F$39,INDEX($C$11:$AL$11,G4-Assumptions!$F$39),0)*Pricing!$C$29*Assumptions!$F$38*Assumptions!$F$37</f>
        <v>0</v>
      </c>
      <c r="H16" s="6" t="n">
        <f aca="false">IF(H4&gt;Assumptions!$F$39,INDEX($C$11:$AL$11,H4-Assumptions!$F$39),0)*Pricing!$C$29*Assumptions!$F$38*Assumptions!$F$37</f>
        <v>0</v>
      </c>
      <c r="I16" s="6" t="n">
        <f aca="false">IF(I4&gt;Assumptions!$F$39,INDEX($C$11:$AL$11,I4-Assumptions!$F$39),0)*Pricing!$C$29*Assumptions!$F$38*Assumptions!$F$37</f>
        <v>0</v>
      </c>
      <c r="J16" s="6" t="n">
        <f aca="false">IF(J4&gt;Assumptions!$F$39,INDEX($C$11:$AL$11,J4-Assumptions!$F$39),0)*Pricing!$C$29*Assumptions!$F$38*Assumptions!$F$37</f>
        <v>0</v>
      </c>
      <c r="K16" s="6" t="n">
        <f aca="false">IF(K4&gt;Assumptions!$F$39,INDEX($C$11:$AL$11,K4-Assumptions!$F$39),0)*Pricing!$C$29*Assumptions!$F$38*Assumptions!$F$37</f>
        <v>0</v>
      </c>
      <c r="L16" s="6" t="n">
        <f aca="false">IF(L4&gt;Assumptions!$F$39,INDEX($C$11:$AL$11,L4-Assumptions!$F$39),0)*Pricing!$C$29*Assumptions!$F$38*Assumptions!$F$37</f>
        <v>0</v>
      </c>
      <c r="M16" s="6" t="n">
        <f aca="false">IF(M4&gt;Assumptions!$F$39,INDEX($C$11:$AL$11,M4-Assumptions!$F$39),0)*Pricing!$C$29*Assumptions!$F$38*Assumptions!$F$37</f>
        <v>0</v>
      </c>
      <c r="N16" s="6" t="n">
        <f aca="false">IF(N4&gt;Assumptions!$F$39,INDEX($C$11:$AL$11,N4-Assumptions!$F$39),0)*Pricing!$C$29*Assumptions!$F$38*Assumptions!$F$37</f>
        <v>4132.5</v>
      </c>
      <c r="O16" s="6" t="n">
        <f aca="false">IF(O4&gt;Assumptions!$F$39,INDEX($C$11:$AL$11,O4-Assumptions!$F$39),0)*Pricing!$C$29*Assumptions!$F$38*Assumptions!$F$37</f>
        <v>8265</v>
      </c>
      <c r="P16" s="6" t="n">
        <f aca="false">IF(P4&gt;Assumptions!$F$39,INDEX($C$11:$AL$11,P4-Assumptions!$F$39),0)*Pricing!$C$29*Assumptions!$F$38*Assumptions!$F$37</f>
        <v>12401.21925</v>
      </c>
      <c r="Q16" s="6" t="n">
        <f aca="false">IF(Q4&gt;Assumptions!$F$39,INDEX($C$11:$AL$11,Q4-Assumptions!$F$39),0)*Pricing!$C$29*Assumptions!$F$38*Assumptions!$F$37</f>
        <v>16544.877</v>
      </c>
      <c r="R16" s="6" t="n">
        <f aca="false">IF(R4&gt;Assumptions!$F$39,INDEX($C$11:$AL$11,R4-Assumptions!$F$39),0)*Pricing!$C$29*Assumptions!$F$38*Assumptions!$F$37</f>
        <v>20699.695847325</v>
      </c>
      <c r="S16" s="6" t="n">
        <f aca="false">IF(S4&gt;Assumptions!$F$39,INDEX($C$11:$AL$11,S4-Assumptions!$F$39),0)*Pricing!$C$29*Assumptions!$F$38*Assumptions!$F$37</f>
        <v>24869.40508395</v>
      </c>
      <c r="T16" s="6" t="n">
        <f aca="false">IF(T4&gt;Assumptions!$F$39,INDEX($C$11:$AL$11,T4-Assumptions!$F$39),0)*Pricing!$C$29*Assumptions!$F$38*Assumptions!$F$37</f>
        <v>29057.7440468376</v>
      </c>
      <c r="U16" s="6" t="n">
        <f aca="false">IF(U4&gt;Assumptions!$F$39,INDEX($C$11:$AL$11,U4-Assumptions!$F$39),0)*Pricing!$C$29*Assumptions!$F$38*Assumptions!$F$37</f>
        <v>33268.4654743007</v>
      </c>
      <c r="V16" s="6" t="n">
        <f aca="false">IF(V4&gt;Assumptions!$F$39,INDEX($C$11:$AL$11,V4-Assumptions!$F$39),0)*Pricing!$C$29*Assumptions!$F$38*Assumptions!$F$37</f>
        <v>37505.338871406</v>
      </c>
      <c r="W16" s="6" t="n">
        <f aca="false">IF(W4&gt;Assumptions!$F$39,INDEX($C$11:$AL$11,W4-Assumptions!$F$39),0)*Pricing!$C$29*Assumptions!$F$38*Assumptions!$F$37</f>
        <v>41772.1538874382</v>
      </c>
      <c r="X16" s="6" t="n">
        <f aca="false">IF(X4&gt;Assumptions!$F$39,INDEX($C$11:$AL$11,X4-Assumptions!$F$39),0)*Pricing!$C$29*Assumptions!$F$38*Assumptions!$F$37</f>
        <v>46072.7237084547</v>
      </c>
      <c r="Y16" s="6" t="n">
        <f aca="false">IF(Y4&gt;Assumptions!$F$39,INDEX($C$11:$AL$11,Y4-Assumptions!$F$39),0)*Pricing!$C$29*Assumptions!$F$38*Assumptions!$F$37</f>
        <v>50410.8884679698</v>
      </c>
      <c r="Z16" s="6" t="n">
        <f aca="false">IF(Z4&gt;Assumptions!$F$39,INDEX($C$11:$AL$11,Z4-Assumptions!$F$39),0)*Pricing!$C$29*Assumptions!$F$38*Assumptions!$F$37</f>
        <v>54790.5186788225</v>
      </c>
      <c r="AA16" s="6" t="n">
        <f aca="false">IF(AA4&gt;Assumptions!$F$39,INDEX($C$11:$AL$11,AA4-Assumptions!$F$39),0)*Pricing!$C$29*Assumptions!$F$38*Assumptions!$F$37</f>
        <v>59215.5186892964</v>
      </c>
      <c r="AB16" s="6" t="n">
        <f aca="false">IF(AB4&gt;Assumptions!$F$39,INDEX($C$11:$AL$11,AB4-Assumptions!$F$39),0)*Pricing!$C$29*Assumptions!$F$38*Assumptions!$F$37</f>
        <v>63689.8301665813</v>
      </c>
      <c r="AC16" s="6" t="n">
        <f aca="false">IF(AC4&gt;Assumptions!$F$39,INDEX($C$11:$AL$11,AC4-Assumptions!$F$39),0)*Pricing!$C$29*Assumptions!$F$38*Assumptions!$F$37</f>
        <v>68217.4356106865</v>
      </c>
      <c r="AD16" s="6" t="n">
        <f aca="false">IF(AD4&gt;Assumptions!$F$39,INDEX($C$11:$AL$11,AD4-Assumptions!$F$39),0)*Pricing!$C$29*Assumptions!$F$38*Assumptions!$F$37</f>
        <v>72802.3619019417</v>
      </c>
      <c r="AE16" s="6" t="n">
        <f aca="false">IF(AE4&gt;Assumptions!$F$39,INDEX($C$11:$AL$11,AE4-Assumptions!$F$39),0)*Pricing!$C$29*Assumptions!$F$38*Assumptions!$F$37</f>
        <v>77448.6838852464</v>
      </c>
      <c r="AF16" s="6" t="n">
        <f aca="false">IF(AF4&gt;Assumptions!$F$39,INDEX($C$11:$AL$11,AF4-Assumptions!$F$39),0)*Pricing!$C$29*Assumptions!$F$38*Assumptions!$F$37</f>
        <v>82160.5279942629</v>
      </c>
      <c r="AG16" s="6" t="n">
        <f aca="false">IF(AG4&gt;Assumptions!$F$39,INDEX($C$11:$AL$11,AG4-Assumptions!$F$39),0)*Pricing!$C$29*Assumptions!$F$38*Assumptions!$F$37</f>
        <v>86942.0759187762</v>
      </c>
      <c r="AH16" s="6" t="n">
        <f aca="false">IF(AH4&gt;Assumptions!$F$39,INDEX($C$11:$AL$11,AH4-Assumptions!$F$39),0)*Pricing!$C$29*Assumptions!$F$38*Assumptions!$F$37</f>
        <v>91797.5683184843</v>
      </c>
      <c r="AI16" s="6" t="n">
        <f aca="false">IF(AI4&gt;Assumptions!$F$39,INDEX($C$11:$AL$11,AI4-Assumptions!$F$39),0)*Pricing!$C$29*Assumptions!$F$38*Assumptions!$F$37</f>
        <v>96731.3085865193</v>
      </c>
      <c r="AJ16" s="6" t="n">
        <f aca="false">IF(AJ4&gt;Assumptions!$F$39,INDEX($C$11:$AL$11,AJ4-Assumptions!$F$39),0)*Pricing!$C$29*Assumptions!$F$38*Assumptions!$F$37</f>
        <v>101747.666666041</v>
      </c>
      <c r="AK16" s="6" t="n">
        <f aca="false">IF(AK4&gt;Assumptions!$F$39,INDEX($C$11:$AL$11,AK4-Assumptions!$F$39),0)*Pricing!$C$29*Assumptions!$F$38*Assumptions!$F$37</f>
        <v>106851.08292329</v>
      </c>
      <c r="AL16" s="6" t="n">
        <f aca="false">IF(AL4&gt;Assumptions!$F$39,INDEX($C$11:$AL$11,AL4-Assumptions!$F$39),0)*Pricing!$C$29*Assumptions!$F$38*Assumptions!$F$37</f>
        <v>112046.072080539</v>
      </c>
    </row>
    <row r="17" customFormat="false" ht="15" hidden="false" customHeight="false" outlineLevel="0" collapsed="false">
      <c r="B17" s="14" t="s">
        <v>305</v>
      </c>
      <c r="C17" s="29" t="n">
        <f aca="false">C14+C15+C16</f>
        <v>0</v>
      </c>
      <c r="D17" s="29" t="n">
        <f aca="false">D14+D15+D16</f>
        <v>0</v>
      </c>
      <c r="E17" s="29" t="n">
        <f aca="false">E14+E15+E16</f>
        <v>0</v>
      </c>
      <c r="F17" s="29" t="n">
        <f aca="false">F14+F15+F16</f>
        <v>0</v>
      </c>
      <c r="G17" s="29" t="n">
        <f aca="false">G14+G15+G16</f>
        <v>0</v>
      </c>
      <c r="H17" s="29" t="n">
        <f aca="false">H14+H15+H16</f>
        <v>0</v>
      </c>
      <c r="I17" s="29" t="n">
        <f aca="false">I14+I15+I16</f>
        <v>0</v>
      </c>
      <c r="J17" s="29" t="n">
        <f aca="false">J14+J15+J16</f>
        <v>0</v>
      </c>
      <c r="K17" s="29" t="n">
        <f aca="false">K14+K15+K16</f>
        <v>2918</v>
      </c>
      <c r="L17" s="29" t="n">
        <f aca="false">L14+L15+L16</f>
        <v>5137.6</v>
      </c>
      <c r="M17" s="29" t="n">
        <f aca="false">M14+M15+M16</f>
        <v>7359.8262</v>
      </c>
      <c r="N17" s="29" t="n">
        <f aca="false">N14+N15+N16</f>
        <v>13719.17624</v>
      </c>
      <c r="O17" s="29" t="n">
        <f aca="false">O14+O15+O16</f>
        <v>20085.15012358</v>
      </c>
      <c r="P17" s="29" t="n">
        <f aca="false">P14+P15+P16</f>
        <v>26463.471265776</v>
      </c>
      <c r="Q17" s="29" t="n">
        <f aca="false">Q14+Q15+Q16</f>
        <v>32859.8690430832</v>
      </c>
      <c r="R17" s="29" t="n">
        <f aca="false">R14+R15+R16</f>
        <v>39280.0839445296</v>
      </c>
      <c r="S17" s="29" t="n">
        <f aca="false">S14+S15+S16</f>
        <v>45729.8727281148</v>
      </c>
      <c r="T17" s="29" t="n">
        <f aca="false">T14+T15+T16</f>
        <v>52215.0135872501</v>
      </c>
      <c r="U17" s="29" t="n">
        <f aca="false">U14+U15+U16</f>
        <v>58741.3113318407</v>
      </c>
      <c r="V17" s="29" t="n">
        <f aca="false">V14+V15+V16</f>
        <v>65314.6025886598</v>
      </c>
      <c r="W17" s="29" t="n">
        <f aca="false">W14+W15+W16</f>
        <v>71940.7610256775</v>
      </c>
      <c r="X17" s="29" t="n">
        <f aca="false">X14+X15+X16</f>
        <v>78625.7026050251</v>
      </c>
      <c r="Y17" s="29" t="n">
        <f aca="false">Y14+Y15+Y16</f>
        <v>85375.3908692958</v>
      </c>
      <c r="Z17" s="29" t="n">
        <f aca="false">Z14+Z15+Z16</f>
        <v>92195.842265911</v>
      </c>
      <c r="AA17" s="29" t="n">
        <f aca="false">AA14+AA15+AA16</f>
        <v>99093.1315143085</v>
      </c>
      <c r="AB17" s="29" t="n">
        <f aca="false">AB14+AB15+AB16</f>
        <v>106073.397020745</v>
      </c>
      <c r="AC17" s="29" t="n">
        <f aca="false">AC14+AC15+AC16</f>
        <v>113142.846345545</v>
      </c>
      <c r="AD17" s="29" t="n">
        <f aca="false">AD14+AD15+AD16</f>
        <v>120307.761727664</v>
      </c>
      <c r="AE17" s="29" t="n">
        <f aca="false">AE14+AE15+AE16</f>
        <v>127574.505671493</v>
      </c>
      <c r="AF17" s="29" t="n">
        <f aca="false">AF14+AF15+AF16</f>
        <v>134949.526600877</v>
      </c>
      <c r="AG17" s="29" t="n">
        <f aca="false">AG14+AG15+AG16</f>
        <v>142439.364585366</v>
      </c>
      <c r="AH17" s="29" t="n">
        <f aca="false">AH14+AH15+AH16</f>
        <v>150050.657143795</v>
      </c>
      <c r="AI17" s="29" t="n">
        <f aca="false">AI14+AI15+AI16</f>
        <v>157790.145130352</v>
      </c>
      <c r="AJ17" s="29" t="n">
        <f aca="false">AJ14+AJ15+AJ16</f>
        <v>165664.678708337</v>
      </c>
      <c r="AK17" s="29" t="n">
        <f aca="false">AK14+AK15+AK16</f>
        <v>173681.22341694</v>
      </c>
      <c r="AL17" s="29" t="n">
        <f aca="false">AL14+AL15+AL16</f>
        <v>181846.866336381</v>
      </c>
    </row>
    <row r="19" customFormat="false" ht="15" hidden="false" customHeight="false" outlineLevel="0" collapsed="false">
      <c r="B19" s="2" t="s">
        <v>306</v>
      </c>
      <c r="C19" s="6" t="n">
        <f aca="false">C12*(Assumptions!$F$18*UnitCosts!$C$36+UnitCosts!$C$37)</f>
        <v>0</v>
      </c>
      <c r="D19" s="6" t="n">
        <f aca="false">D12*(Assumptions!$F$18*UnitCosts!$C$36+UnitCosts!$C$37)</f>
        <v>0</v>
      </c>
      <c r="E19" s="6" t="n">
        <f aca="false">E12*(Assumptions!$F$18*UnitCosts!$C$36+UnitCosts!$C$37)</f>
        <v>0</v>
      </c>
      <c r="F19" s="6" t="n">
        <f aca="false">F12*(Assumptions!$F$18*UnitCosts!$C$36+UnitCosts!$C$37)</f>
        <v>0</v>
      </c>
      <c r="G19" s="6" t="n">
        <f aca="false">G12*(Assumptions!$F$18*UnitCosts!$C$36+UnitCosts!$C$37)</f>
        <v>0</v>
      </c>
      <c r="H19" s="6" t="n">
        <f aca="false">H12*(Assumptions!$F$18*UnitCosts!$C$36+UnitCosts!$C$37)</f>
        <v>0</v>
      </c>
      <c r="I19" s="6" t="n">
        <f aca="false">I12*(Assumptions!$F$18*UnitCosts!$C$36+UnitCosts!$C$37)</f>
        <v>0</v>
      </c>
      <c r="J19" s="6" t="n">
        <f aca="false">J12*(Assumptions!$F$18*UnitCosts!$C$36+UnitCosts!$C$37)</f>
        <v>0</v>
      </c>
      <c r="K19" s="6" t="n">
        <f aca="false">K12*(Assumptions!$F$18*UnitCosts!$C$36+UnitCosts!$C$37)</f>
        <v>242.8204</v>
      </c>
      <c r="L19" s="6" t="n">
        <f aca="false">L12*(Assumptions!$F$18*UnitCosts!$C$36+UnitCosts!$C$37)</f>
        <v>485.6408</v>
      </c>
      <c r="M19" s="6" t="n">
        <f aca="false">M12*(Assumptions!$F$18*UnitCosts!$C$36+UnitCosts!$C$37)</f>
        <v>728.67973836</v>
      </c>
      <c r="N19" s="6" t="n">
        <f aca="false">N12*(Assumptions!$F$18*UnitCosts!$C$36+UnitCosts!$C$37)</f>
        <v>972.15575344</v>
      </c>
      <c r="O19" s="6" t="n">
        <f aca="false">O12*(Assumptions!$F$18*UnitCosts!$C$36+UnitCosts!$C$37)</f>
        <v>1216.28758028452</v>
      </c>
      <c r="P19" s="6" t="n">
        <f aca="false">P12*(Assumptions!$F$18*UnitCosts!$C$36+UnitCosts!$C$37)</f>
        <v>1461.29434730714</v>
      </c>
      <c r="Q19" s="6" t="n">
        <f aca="false">Q12*(Assumptions!$F$18*UnitCosts!$C$36+UnitCosts!$C$37)</f>
        <v>1707.39577315202</v>
      </c>
      <c r="R19" s="6" t="n">
        <f aca="false">R12*(Assumptions!$F$18*UnitCosts!$C$36+UnitCosts!$C$37)</f>
        <v>1954.81236390947</v>
      </c>
      <c r="S19" s="6" t="n">
        <f aca="false">S12*(Assumptions!$F$18*UnitCosts!$C$36+UnitCosts!$C$37)</f>
        <v>2203.76561086276</v>
      </c>
      <c r="T19" s="6" t="n">
        <f aca="false">T12*(Assumptions!$F$18*UnitCosts!$C$36+UnitCosts!$C$37)</f>
        <v>2454.47818894357</v>
      </c>
      <c r="U19" s="6" t="n">
        <f aca="false">U12*(Assumptions!$F$18*UnitCosts!$C$36+UnitCosts!$C$37)</f>
        <v>2707.17415607415</v>
      </c>
      <c r="V19" s="6" t="n">
        <f aca="false">V12*(Assumptions!$F$18*UnitCosts!$C$36+UnitCosts!$C$37)</f>
        <v>2962.07915357479</v>
      </c>
      <c r="W19" s="6" t="n">
        <f aca="false">W12*(Assumptions!$F$18*UnitCosts!$C$36+UnitCosts!$C$37)</f>
        <v>3219.42060781589</v>
      </c>
      <c r="X19" s="6" t="n">
        <f aca="false">X12*(Assumptions!$F$18*UnitCosts!$C$36+UnitCosts!$C$37)</f>
        <v>3479.42793329521</v>
      </c>
      <c r="Y19" s="6" t="n">
        <f aca="false">Y12*(Assumptions!$F$18*UnitCosts!$C$36+UnitCosts!$C$37)</f>
        <v>3742.33273732156</v>
      </c>
      <c r="Z19" s="6" t="n">
        <f aca="false">Z12*(Assumptions!$F$18*UnitCosts!$C$36+UnitCosts!$C$37)</f>
        <v>4008.36902648788</v>
      </c>
      <c r="AA19" s="6" t="n">
        <f aca="false">AA12*(Assumptions!$F$18*UnitCosts!$C$36+UnitCosts!$C$37)</f>
        <v>4277.77341511778</v>
      </c>
      <c r="AB19" s="6" t="n">
        <f aca="false">AB12*(Assumptions!$F$18*UnitCosts!$C$36+UnitCosts!$C$37)</f>
        <v>4550.78533587153</v>
      </c>
      <c r="AC19" s="6" t="n">
        <f aca="false">AC12*(Assumptions!$F$18*UnitCosts!$C$36+UnitCosts!$C$37)</f>
        <v>4827.64725269888</v>
      </c>
      <c r="AD19" s="6" t="n">
        <f aca="false">AD12*(Assumptions!$F$18*UnitCosts!$C$36+UnitCosts!$C$37)</f>
        <v>5108.60487632852</v>
      </c>
      <c r="AE19" s="6" t="n">
        <f aca="false">AE12*(Assumptions!$F$18*UnitCosts!$C$36+UnitCosts!$C$37)</f>
        <v>5393.90738248559</v>
      </c>
      <c r="AF19" s="6" t="n">
        <f aca="false">AF12*(Assumptions!$F$18*UnitCosts!$C$36+UnitCosts!$C$37)</f>
        <v>5683.80763303135</v>
      </c>
      <c r="AG19" s="6" t="n">
        <f aca="false">AG12*(Assumptions!$F$18*UnitCosts!$C$36+UnitCosts!$C$37)</f>
        <v>5978.56240022135</v>
      </c>
      <c r="AH19" s="6" t="n">
        <f aca="false">AH12*(Assumptions!$F$18*UnitCosts!$C$36+UnitCosts!$C$37)</f>
        <v>6278.43259428107</v>
      </c>
      <c r="AI19" s="6" t="n">
        <f aca="false">AI12*(Assumptions!$F$18*UnitCosts!$C$36+UnitCosts!$C$37)</f>
        <v>6583.683494501</v>
      </c>
      <c r="AJ19" s="6" t="n">
        <f aca="false">AJ12*(Assumptions!$F$18*UnitCosts!$C$36+UnitCosts!$C$37)</f>
        <v>6894.58498405578</v>
      </c>
      <c r="AK19" s="6" t="n">
        <f aca="false">AK12*(Assumptions!$F$18*UnitCosts!$C$36+UnitCosts!$C$37)</f>
        <v>7211.41178875561</v>
      </c>
      <c r="AL19" s="6" t="n">
        <f aca="false">AL12*(Assumptions!$F$18*UnitCosts!$C$36+UnitCosts!$C$37)</f>
        <v>7534.44371994109</v>
      </c>
    </row>
    <row r="20" customFormat="false" ht="15" hidden="false" customHeight="false" outlineLevel="0" collapsed="false">
      <c r="B20" s="2" t="s">
        <v>307</v>
      </c>
      <c r="C20" s="6" t="n">
        <f aca="false">C12*Assumptions!$F$18*UnitCosts!$C$28</f>
        <v>0</v>
      </c>
      <c r="D20" s="6" t="n">
        <f aca="false">D12*Assumptions!$F$18*UnitCosts!$C$28</f>
        <v>0</v>
      </c>
      <c r="E20" s="6" t="n">
        <f aca="false">E12*Assumptions!$F$18*UnitCosts!$C$28</f>
        <v>0</v>
      </c>
      <c r="F20" s="6" t="n">
        <f aca="false">F12*Assumptions!$F$18*UnitCosts!$C$28</f>
        <v>0</v>
      </c>
      <c r="G20" s="6" t="n">
        <f aca="false">G12*Assumptions!$F$18*UnitCosts!$C$28</f>
        <v>0</v>
      </c>
      <c r="H20" s="6" t="n">
        <f aca="false">H12*Assumptions!$F$18*UnitCosts!$C$28</f>
        <v>0</v>
      </c>
      <c r="I20" s="6" t="n">
        <f aca="false">I12*Assumptions!$F$18*UnitCosts!$C$28</f>
        <v>0</v>
      </c>
      <c r="J20" s="6" t="n">
        <f aca="false">J12*Assumptions!$F$18*UnitCosts!$C$28</f>
        <v>0</v>
      </c>
      <c r="K20" s="6" t="n">
        <f aca="false">K12*Assumptions!$F$18*UnitCosts!$C$28</f>
        <v>56.64</v>
      </c>
      <c r="L20" s="6" t="n">
        <f aca="false">L12*Assumptions!$F$18*UnitCosts!$C$28</f>
        <v>113.28</v>
      </c>
      <c r="M20" s="6" t="n">
        <f aca="false">M12*Assumptions!$F$18*UnitCosts!$C$28</f>
        <v>169.970976</v>
      </c>
      <c r="N20" s="6" t="n">
        <f aca="false">N12*Assumptions!$F$18*UnitCosts!$C$28</f>
        <v>226.763904</v>
      </c>
      <c r="O20" s="6" t="n">
        <f aca="false">O12*Assumptions!$F$18*UnitCosts!$C$28</f>
        <v>283.7098058784</v>
      </c>
      <c r="P20" s="6" t="n">
        <f aca="false">P12*Assumptions!$F$18*UnitCosts!$C$28</f>
        <v>340.8597952704</v>
      </c>
      <c r="Q20" s="6" t="n">
        <f aca="false">Q12*Assumptions!$F$18*UnitCosts!$C$28</f>
        <v>398.26512348769</v>
      </c>
      <c r="R20" s="6" t="n">
        <f aca="false">R12*Assumptions!$F$18*UnitCosts!$C$28</f>
        <v>455.977225520724</v>
      </c>
      <c r="S20" s="6" t="n">
        <f aca="false">S12*Assumptions!$F$18*UnitCosts!$C$28</f>
        <v>514.047766164897</v>
      </c>
      <c r="T20" s="6" t="n">
        <f aca="false">T12*Assumptions!$F$18*UnitCosts!$C$28</f>
        <v>572.528686312039</v>
      </c>
      <c r="U20" s="6" t="n">
        <f aca="false">U12*Assumptions!$F$18*UnitCosts!$C$28</f>
        <v>631.472249448729</v>
      </c>
      <c r="V20" s="6" t="n">
        <f aca="false">V12*Assumptions!$F$18*UnitCosts!$C$28</f>
        <v>690.931088403099</v>
      </c>
      <c r="W20" s="6" t="n">
        <f aca="false">W12*Assumptions!$F$18*UnitCosts!$C$28</f>
        <v>750.958252381974</v>
      </c>
      <c r="X20" s="6" t="n">
        <f aca="false">X12*Assumptions!$F$18*UnitCosts!$C$28</f>
        <v>811.607254340412</v>
      </c>
      <c r="Y20" s="6" t="n">
        <f aca="false">Y12*Assumptions!$F$18*UnitCosts!$C$28</f>
        <v>872.932118725993</v>
      </c>
      <c r="Z20" s="6" t="n">
        <f aca="false">Z12*Assumptions!$F$18*UnitCosts!$C$28</f>
        <v>934.98742964048</v>
      </c>
      <c r="AA20" s="6" t="n">
        <f aca="false">AA12*Assumptions!$F$18*UnitCosts!$C$28</f>
        <v>997.828379461821</v>
      </c>
      <c r="AB20" s="6" t="n">
        <f aca="false">AB12*Assumptions!$F$18*UnitCosts!$C$28</f>
        <v>1061.51081796984</v>
      </c>
      <c r="AC20" s="6" t="n">
        <f aca="false">AC12*Assumptions!$F$18*UnitCosts!$C$28</f>
        <v>1126.09130201937</v>
      </c>
      <c r="AD20" s="6" t="n">
        <f aca="false">AD12*Assumptions!$F$18*UnitCosts!$C$28</f>
        <v>1191.62714580508</v>
      </c>
      <c r="AE20" s="6" t="n">
        <f aca="false">AE12*Assumptions!$F$18*UnitCosts!$C$28</f>
        <v>1258.1764717626</v>
      </c>
      <c r="AF20" s="6" t="n">
        <f aca="false">AF12*Assumptions!$F$18*UnitCosts!$C$28</f>
        <v>1325.79826215135</v>
      </c>
      <c r="AG20" s="6" t="n">
        <f aca="false">AG12*Assumptions!$F$18*UnitCosts!$C$28</f>
        <v>1394.55241136468</v>
      </c>
      <c r="AH20" s="6" t="n">
        <f aca="false">AH12*Assumptions!$F$18*UnitCosts!$C$28</f>
        <v>1464.49977901395</v>
      </c>
      <c r="AI20" s="6" t="n">
        <f aca="false">AI12*Assumptions!$F$18*UnitCosts!$C$28</f>
        <v>1535.70224383345</v>
      </c>
      <c r="AJ20" s="6" t="n">
        <f aca="false">AJ12*Assumptions!$F$18*UnitCosts!$C$28</f>
        <v>1608.22275845406</v>
      </c>
      <c r="AK20" s="6" t="n">
        <f aca="false">AK12*Assumptions!$F$18*UnitCosts!$C$28</f>
        <v>1682.12540509412</v>
      </c>
      <c r="AL20" s="6" t="n">
        <f aca="false">AL12*Assumptions!$F$18*UnitCosts!$C$28</f>
        <v>1757.47545221679</v>
      </c>
    </row>
    <row r="21" customFormat="false" ht="15" hidden="false" customHeight="false" outlineLevel="0" collapsed="false">
      <c r="B21" s="2" t="s">
        <v>308</v>
      </c>
      <c r="C21" s="6" t="n">
        <f aca="false">IF(C4&gt;=Assumptions!$F$7-1,Infrastructure!$C$18,Infrastructure!$C$18*Assumptions!$F$29)</f>
        <v>1180</v>
      </c>
      <c r="D21" s="6" t="n">
        <f aca="false">IF(D4&gt;=Assumptions!$F$7-1,Infrastructure!$C$18,Infrastructure!$C$18*Assumptions!$F$29)</f>
        <v>1180</v>
      </c>
      <c r="E21" s="6" t="n">
        <f aca="false">IF(E4&gt;=Assumptions!$F$7-1,Infrastructure!$C$18,Infrastructure!$C$18*Assumptions!$F$29)</f>
        <v>1180</v>
      </c>
      <c r="F21" s="6" t="n">
        <f aca="false">IF(F4&gt;=Assumptions!$F$7-1,Infrastructure!$C$18,Infrastructure!$C$18*Assumptions!$F$29)</f>
        <v>1180</v>
      </c>
      <c r="G21" s="6" t="n">
        <f aca="false">IF(G4&gt;=Assumptions!$F$7-1,Infrastructure!$C$18,Infrastructure!$C$18*Assumptions!$F$29)</f>
        <v>1180</v>
      </c>
      <c r="H21" s="6" t="n">
        <f aca="false">IF(H4&gt;=Assumptions!$F$7-1,Infrastructure!$C$18,Infrastructure!$C$18*Assumptions!$F$29)</f>
        <v>1180</v>
      </c>
      <c r="I21" s="6" t="n">
        <f aca="false">IF(I4&gt;=Assumptions!$F$7-1,Infrastructure!$C$18,Infrastructure!$C$18*Assumptions!$F$29)</f>
        <v>1180</v>
      </c>
      <c r="J21" s="6" t="n">
        <f aca="false">IF(J4&gt;=Assumptions!$F$7-1,Infrastructure!$C$18,Infrastructure!$C$18*Assumptions!$F$29)</f>
        <v>2950</v>
      </c>
      <c r="K21" s="6" t="n">
        <f aca="false">IF(K4&gt;=Assumptions!$F$7-1,Infrastructure!$C$18,Infrastructure!$C$18*Assumptions!$F$29)</f>
        <v>2950</v>
      </c>
      <c r="L21" s="6" t="n">
        <f aca="false">IF(L4&gt;=Assumptions!$F$7-1,Infrastructure!$C$18,Infrastructure!$C$18*Assumptions!$F$29)</f>
        <v>2950</v>
      </c>
      <c r="M21" s="6" t="n">
        <f aca="false">IF(M4&gt;=Assumptions!$F$7-1,Infrastructure!$C$18,Infrastructure!$C$18*Assumptions!$F$29)</f>
        <v>2950</v>
      </c>
      <c r="N21" s="6" t="n">
        <f aca="false">IF(N4&gt;=Assumptions!$F$7-1,Infrastructure!$C$18,Infrastructure!$C$18*Assumptions!$F$29)</f>
        <v>2950</v>
      </c>
      <c r="O21" s="6" t="n">
        <f aca="false">IF(O4&gt;=Assumptions!$F$7-1,Infrastructure!$C$18,Infrastructure!$C$18*Assumptions!$F$29)</f>
        <v>2950</v>
      </c>
      <c r="P21" s="6" t="n">
        <f aca="false">IF(P4&gt;=Assumptions!$F$7-1,Infrastructure!$C$18,Infrastructure!$C$18*Assumptions!$F$29)</f>
        <v>2950</v>
      </c>
      <c r="Q21" s="6" t="n">
        <f aca="false">IF(Q4&gt;=Assumptions!$F$7-1,Infrastructure!$C$18,Infrastructure!$C$18*Assumptions!$F$29)</f>
        <v>2950</v>
      </c>
      <c r="R21" s="6" t="n">
        <f aca="false">IF(R4&gt;=Assumptions!$F$7-1,Infrastructure!$C$18,Infrastructure!$C$18*Assumptions!$F$29)</f>
        <v>2950</v>
      </c>
      <c r="S21" s="6" t="n">
        <f aca="false">IF(S4&gt;=Assumptions!$F$7-1,Infrastructure!$C$18,Infrastructure!$C$18*Assumptions!$F$29)</f>
        <v>2950</v>
      </c>
      <c r="T21" s="6" t="n">
        <f aca="false">IF(T4&gt;=Assumptions!$F$7-1,Infrastructure!$C$18,Infrastructure!$C$18*Assumptions!$F$29)</f>
        <v>2950</v>
      </c>
      <c r="U21" s="6" t="n">
        <f aca="false">IF(U4&gt;=Assumptions!$F$7-1,Infrastructure!$C$18,Infrastructure!$C$18*Assumptions!$F$29)</f>
        <v>2950</v>
      </c>
      <c r="V21" s="6" t="n">
        <f aca="false">IF(V4&gt;=Assumptions!$F$7-1,Infrastructure!$C$18,Infrastructure!$C$18*Assumptions!$F$29)</f>
        <v>2950</v>
      </c>
      <c r="W21" s="6" t="n">
        <f aca="false">IF(W4&gt;=Assumptions!$F$7-1,Infrastructure!$C$18,Infrastructure!$C$18*Assumptions!$F$29)</f>
        <v>2950</v>
      </c>
      <c r="X21" s="6" t="n">
        <f aca="false">IF(X4&gt;=Assumptions!$F$7-1,Infrastructure!$C$18,Infrastructure!$C$18*Assumptions!$F$29)</f>
        <v>2950</v>
      </c>
      <c r="Y21" s="6" t="n">
        <f aca="false">IF(Y4&gt;=Assumptions!$F$7-1,Infrastructure!$C$18,Infrastructure!$C$18*Assumptions!$F$29)</f>
        <v>2950</v>
      </c>
      <c r="Z21" s="6" t="n">
        <f aca="false">IF(Z4&gt;=Assumptions!$F$7-1,Infrastructure!$C$18,Infrastructure!$C$18*Assumptions!$F$29)</f>
        <v>2950</v>
      </c>
      <c r="AA21" s="6" t="n">
        <f aca="false">IF(AA4&gt;=Assumptions!$F$7-1,Infrastructure!$C$18,Infrastructure!$C$18*Assumptions!$F$29)</f>
        <v>2950</v>
      </c>
      <c r="AB21" s="6" t="n">
        <f aca="false">IF(AB4&gt;=Assumptions!$F$7-1,Infrastructure!$C$18,Infrastructure!$C$18*Assumptions!$F$29)</f>
        <v>2950</v>
      </c>
      <c r="AC21" s="6" t="n">
        <f aca="false">IF(AC4&gt;=Assumptions!$F$7-1,Infrastructure!$C$18,Infrastructure!$C$18*Assumptions!$F$29)</f>
        <v>2950</v>
      </c>
      <c r="AD21" s="6" t="n">
        <f aca="false">IF(AD4&gt;=Assumptions!$F$7-1,Infrastructure!$C$18,Infrastructure!$C$18*Assumptions!$F$29)</f>
        <v>2950</v>
      </c>
      <c r="AE21" s="6" t="n">
        <f aca="false">IF(AE4&gt;=Assumptions!$F$7-1,Infrastructure!$C$18,Infrastructure!$C$18*Assumptions!$F$29)</f>
        <v>2950</v>
      </c>
      <c r="AF21" s="6" t="n">
        <f aca="false">IF(AF4&gt;=Assumptions!$F$7-1,Infrastructure!$C$18,Infrastructure!$C$18*Assumptions!$F$29)</f>
        <v>2950</v>
      </c>
      <c r="AG21" s="6" t="n">
        <f aca="false">IF(AG4&gt;=Assumptions!$F$7-1,Infrastructure!$C$18,Infrastructure!$C$18*Assumptions!$F$29)</f>
        <v>2950</v>
      </c>
      <c r="AH21" s="6" t="n">
        <f aca="false">IF(AH4&gt;=Assumptions!$F$7-1,Infrastructure!$C$18,Infrastructure!$C$18*Assumptions!$F$29)</f>
        <v>2950</v>
      </c>
      <c r="AI21" s="6" t="n">
        <f aca="false">IF(AI4&gt;=Assumptions!$F$7-1,Infrastructure!$C$18,Infrastructure!$C$18*Assumptions!$F$29)</f>
        <v>2950</v>
      </c>
      <c r="AJ21" s="6" t="n">
        <f aca="false">IF(AJ4&gt;=Assumptions!$F$7-1,Infrastructure!$C$18,Infrastructure!$C$18*Assumptions!$F$29)</f>
        <v>2950</v>
      </c>
      <c r="AK21" s="6" t="n">
        <f aca="false">IF(AK4&gt;=Assumptions!$F$7-1,Infrastructure!$C$18,Infrastructure!$C$18*Assumptions!$F$29)</f>
        <v>2950</v>
      </c>
      <c r="AL21" s="6" t="n">
        <f aca="false">IF(AL4&gt;=Assumptions!$F$7-1,Infrastructure!$C$18,Infrastructure!$C$18*Assumptions!$F$29)</f>
        <v>2950</v>
      </c>
    </row>
    <row r="22" customFormat="false" ht="15" hidden="false" customHeight="false" outlineLevel="0" collapsed="false">
      <c r="B22" s="2" t="s">
        <v>309</v>
      </c>
      <c r="C22" s="6" t="n">
        <f aca="false">C12*Assumptions!$F$27+C11*Assumptions!$F$28</f>
        <v>0</v>
      </c>
      <c r="D22" s="6" t="n">
        <f aca="false">D12*Assumptions!$F$27+D11*Assumptions!$F$28</f>
        <v>0</v>
      </c>
      <c r="E22" s="6" t="n">
        <f aca="false">E12*Assumptions!$F$27+E11*Assumptions!$F$28</f>
        <v>0</v>
      </c>
      <c r="F22" s="6" t="n">
        <f aca="false">F12*Assumptions!$F$27+F11*Assumptions!$F$28</f>
        <v>0</v>
      </c>
      <c r="G22" s="6" t="n">
        <f aca="false">G12*Assumptions!$F$27+G11*Assumptions!$F$28</f>
        <v>0</v>
      </c>
      <c r="H22" s="6" t="n">
        <f aca="false">H12*Assumptions!$F$27+H11*Assumptions!$F$28</f>
        <v>0</v>
      </c>
      <c r="I22" s="6" t="n">
        <f aca="false">I12*Assumptions!$F$27+I11*Assumptions!$F$28</f>
        <v>0</v>
      </c>
      <c r="J22" s="6" t="n">
        <f aca="false">J12*Assumptions!$F$27+J11*Assumptions!$F$28</f>
        <v>0</v>
      </c>
      <c r="K22" s="6" t="n">
        <f aca="false">K12*Assumptions!$F$27+K11*Assumptions!$F$28</f>
        <v>58.64</v>
      </c>
      <c r="L22" s="6" t="n">
        <f aca="false">L12*Assumptions!$F$27+L11*Assumptions!$F$28</f>
        <v>117.28</v>
      </c>
      <c r="M22" s="6" t="n">
        <f aca="false">M12*Assumptions!$F$27+M11*Assumptions!$F$28</f>
        <v>175.972776</v>
      </c>
      <c r="N22" s="6" t="n">
        <f aca="false">N12*Assumptions!$F$27+N11*Assumptions!$F$28</f>
        <v>234.771104</v>
      </c>
      <c r="O22" s="6" t="n">
        <f aca="false">O12*Assumptions!$F$27+O11*Assumptions!$F$28</f>
        <v>293.7278074984</v>
      </c>
      <c r="P22" s="6" t="n">
        <f aca="false">P12*Assumptions!$F$27+P11*Assumptions!$F$28</f>
        <v>352.8958049904</v>
      </c>
      <c r="Q22" s="6" t="n">
        <f aca="false">Q12*Assumptions!$F$27+Q11*Assumptions!$F$28</f>
        <v>412.328157509148</v>
      </c>
      <c r="R22" s="6" t="n">
        <f aca="false">R12*Assumptions!$F$27+R11*Assumptions!$F$28</f>
        <v>472.078116252388</v>
      </c>
      <c r="S22" s="6" t="n">
        <f aca="false">S12*Assumptions!$F$27+S11*Assumptions!$F$28</f>
        <v>532.199170337387</v>
      </c>
      <c r="T22" s="6" t="n">
        <f aca="false">T12*Assumptions!$F$27+T11*Assumptions!$F$28</f>
        <v>592.745094727012</v>
      </c>
      <c r="U22" s="6" t="n">
        <f aca="false">U12*Assumptions!$F$27+U11*Assumptions!$F$28</f>
        <v>653.769998369941</v>
      </c>
      <c r="V22" s="6" t="n">
        <f aca="false">V12*Assumptions!$F$27+V11*Assumptions!$F$28</f>
        <v>715.328372598124</v>
      </c>
      <c r="W22" s="6" t="n">
        <f aca="false">W12*Assumptions!$F$27+W11*Assumptions!$F$28</f>
        <v>777.47513982484</v>
      </c>
      <c r="X22" s="6" t="n">
        <f aca="false">X12*Assumptions!$F$27+X11*Assumptions!$F$28</f>
        <v>840.265702586895</v>
      </c>
      <c r="Y22" s="6" t="n">
        <f aca="false">Y12*Assumptions!$F$27+Y11*Assumptions!$F$28</f>
        <v>903.755992974792</v>
      </c>
      <c r="Z22" s="6" t="n">
        <f aca="false">Z12*Assumptions!$F$27+Z11*Assumptions!$F$28</f>
        <v>968.002522495017</v>
      </c>
      <c r="AA22" s="6" t="n">
        <f aca="false">AA12*Assumptions!$F$27+AA11*Assumptions!$F$28</f>
        <v>1033.06243240892</v>
      </c>
      <c r="AB22" s="6" t="n">
        <f aca="false">AB12*Assumptions!$F$27+AB11*Assumptions!$F$28</f>
        <v>1098.99354459307</v>
      </c>
      <c r="AC22" s="6" t="n">
        <f aca="false">AC12*Assumptions!$F$27+AC11*Assumptions!$F$28</f>
        <v>1165.85441296638</v>
      </c>
      <c r="AD22" s="6" t="n">
        <f aca="false">AD12*Assumptions!$F$27+AD11*Assumptions!$F$28</f>
        <v>1233.70437552983</v>
      </c>
      <c r="AE22" s="6" t="n">
        <f aca="false">AE12*Assumptions!$F$27+AE11*Assumptions!$F$28</f>
        <v>1302.60360706495</v>
      </c>
      <c r="AF22" s="6" t="n">
        <f aca="false">AF12*Assumptions!$F$27+AF11*Assumptions!$F$28</f>
        <v>1372.61317253805</v>
      </c>
      <c r="AG22" s="6" t="n">
        <f aca="false">AG12*Assumptions!$F$27+AG11*Assumptions!$F$28</f>
        <v>1443.7950812575</v>
      </c>
      <c r="AH22" s="6" t="n">
        <f aca="false">AH12*Assumptions!$F$27+AH11*Assumptions!$F$28</f>
        <v>1516.21234183224</v>
      </c>
      <c r="AI22" s="6" t="n">
        <f aca="false">AI12*Assumptions!$F$27+AI11*Assumptions!$F$28</f>
        <v>1589.92901798011</v>
      </c>
      <c r="AJ22" s="6" t="n">
        <f aca="false">AJ12*Assumptions!$F$27+AJ11*Assumptions!$F$28</f>
        <v>1665.01028523563</v>
      </c>
      <c r="AK22" s="6" t="n">
        <f aca="false">AK12*Assumptions!$F$27+AK11*Assumptions!$F$28</f>
        <v>1741.52248860734</v>
      </c>
      <c r="AL22" s="6" t="n">
        <f aca="false">AL12*Assumptions!$F$27+AL11*Assumptions!$F$28</f>
        <v>1819.53320123575</v>
      </c>
    </row>
    <row r="23" customFormat="false" ht="15" hidden="false" customHeight="false" outlineLevel="0" collapsed="false">
      <c r="B23" s="2" t="s">
        <v>310</v>
      </c>
      <c r="C23" s="6" t="n">
        <f aca="false">C17*Assumptions!$F$26</f>
        <v>0</v>
      </c>
      <c r="D23" s="6" t="n">
        <f aca="false">D17*Assumptions!$F$26</f>
        <v>0</v>
      </c>
      <c r="E23" s="6" t="n">
        <f aca="false">E17*Assumptions!$F$26</f>
        <v>0</v>
      </c>
      <c r="F23" s="6" t="n">
        <f aca="false">F17*Assumptions!$F$26</f>
        <v>0</v>
      </c>
      <c r="G23" s="6" t="n">
        <f aca="false">G17*Assumptions!$F$26</f>
        <v>0</v>
      </c>
      <c r="H23" s="6" t="n">
        <f aca="false">H17*Assumptions!$F$26</f>
        <v>0</v>
      </c>
      <c r="I23" s="6" t="n">
        <f aca="false">I17*Assumptions!$F$26</f>
        <v>0</v>
      </c>
      <c r="J23" s="6" t="n">
        <f aca="false">J17*Assumptions!$F$26</f>
        <v>0</v>
      </c>
      <c r="K23" s="6" t="n">
        <f aca="false">K17*Assumptions!$F$26</f>
        <v>84.622</v>
      </c>
      <c r="L23" s="6" t="n">
        <f aca="false">L17*Assumptions!$F$26</f>
        <v>148.9904</v>
      </c>
      <c r="M23" s="6" t="n">
        <f aca="false">M17*Assumptions!$F$26</f>
        <v>213.4349598</v>
      </c>
      <c r="N23" s="6" t="n">
        <f aca="false">N17*Assumptions!$F$26</f>
        <v>397.85611096</v>
      </c>
      <c r="O23" s="6" t="n">
        <f aca="false">O17*Assumptions!$F$26</f>
        <v>582.46935358382</v>
      </c>
      <c r="P23" s="6" t="n">
        <f aca="false">P17*Assumptions!$F$26</f>
        <v>767.440666707504</v>
      </c>
      <c r="Q23" s="6" t="n">
        <f aca="false">Q17*Assumptions!$F$26</f>
        <v>952.936202249413</v>
      </c>
      <c r="R23" s="6" t="n">
        <f aca="false">R17*Assumptions!$F$26</f>
        <v>1139.12243439136</v>
      </c>
      <c r="S23" s="6" t="n">
        <f aca="false">S17*Assumptions!$F$26</f>
        <v>1326.16630911533</v>
      </c>
      <c r="T23" s="6" t="n">
        <f aca="false">T17*Assumptions!$F$26</f>
        <v>1514.23539403025</v>
      </c>
      <c r="U23" s="6" t="n">
        <f aca="false">U17*Assumptions!$F$26</f>
        <v>1703.49802862338</v>
      </c>
      <c r="V23" s="6" t="n">
        <f aca="false">V17*Assumptions!$F$26</f>
        <v>1894.12347507113</v>
      </c>
      <c r="W23" s="6" t="n">
        <f aca="false">W17*Assumptions!$F$26</f>
        <v>2086.28206974465</v>
      </c>
      <c r="X23" s="6" t="n">
        <f aca="false">X17*Assumptions!$F$26</f>
        <v>2280.14537554573</v>
      </c>
      <c r="Y23" s="6" t="n">
        <f aca="false">Y17*Assumptions!$F$26</f>
        <v>2475.88633520958</v>
      </c>
      <c r="Z23" s="6" t="n">
        <f aca="false">Z17*Assumptions!$F$26</f>
        <v>2673.67942571142</v>
      </c>
      <c r="AA23" s="6" t="n">
        <f aca="false">AA17*Assumptions!$F$26</f>
        <v>2873.70081391495</v>
      </c>
      <c r="AB23" s="6" t="n">
        <f aca="false">AB17*Assumptions!$F$26</f>
        <v>3076.12851360162</v>
      </c>
      <c r="AC23" s="6" t="n">
        <f aca="false">AC17*Assumptions!$F$26</f>
        <v>3281.14254402081</v>
      </c>
      <c r="AD23" s="6" t="n">
        <f aca="false">AD17*Assumptions!$F$26</f>
        <v>3488.92509010224</v>
      </c>
      <c r="AE23" s="6" t="n">
        <f aca="false">AE17*Assumptions!$F$26</f>
        <v>3699.6606644733</v>
      </c>
      <c r="AF23" s="6" t="n">
        <f aca="false">AF17*Assumptions!$F$26</f>
        <v>3913.53627142544</v>
      </c>
      <c r="AG23" s="6" t="n">
        <f aca="false">AG17*Assumptions!$F$26</f>
        <v>4130.74157297561</v>
      </c>
      <c r="AH23" s="6" t="n">
        <f aca="false">AH17*Assumptions!$F$26</f>
        <v>4351.46905717007</v>
      </c>
      <c r="AI23" s="6" t="n">
        <f aca="false">AI17*Assumptions!$F$26</f>
        <v>4575.9142087802</v>
      </c>
      <c r="AJ23" s="6" t="n">
        <f aca="false">AJ17*Assumptions!$F$26</f>
        <v>4804.27568254179</v>
      </c>
      <c r="AK23" s="6" t="n">
        <f aca="false">AK17*Assumptions!$F$26</f>
        <v>5036.75547909127</v>
      </c>
      <c r="AL23" s="6" t="n">
        <f aca="false">AL17*Assumptions!$F$26</f>
        <v>5273.55912375505</v>
      </c>
    </row>
    <row r="24" customFormat="false" ht="15" hidden="false" customHeight="false" outlineLevel="0" collapsed="false">
      <c r="B24" s="2" t="s">
        <v>311</v>
      </c>
      <c r="C24" s="6" t="n">
        <f aca="false">IF(C6=1,IF(AND(Assumptions!$F$34=3,C11&lt;=Assumptions!$F$45),0,MAX(1,ROUNDUP(C11/Assumptions!$F$20,0))*Assumptions!$F$24),0)</f>
        <v>0</v>
      </c>
      <c r="D24" s="6" t="n">
        <f aca="false">IF(D6=1,IF(AND(Assumptions!$F$34=3,D11&lt;=Assumptions!$F$45),0,MAX(1,ROUNDUP(D11/Assumptions!$F$20,0))*Assumptions!$F$24),0)</f>
        <v>0</v>
      </c>
      <c r="E24" s="6" t="n">
        <f aca="false">IF(E6=1,IF(AND(Assumptions!$F$34=3,E11&lt;=Assumptions!$F$45),0,MAX(1,ROUNDUP(E11/Assumptions!$F$20,0))*Assumptions!$F$24),0)</f>
        <v>0</v>
      </c>
      <c r="F24" s="6" t="n">
        <f aca="false">IF(F6=1,IF(AND(Assumptions!$F$34=3,F11&lt;=Assumptions!$F$45),0,MAX(1,ROUNDUP(F11/Assumptions!$F$20,0))*Assumptions!$F$24),0)</f>
        <v>0</v>
      </c>
      <c r="G24" s="6" t="n">
        <f aca="false">IF(G6=1,IF(AND(Assumptions!$F$34=3,G11&lt;=Assumptions!$F$45),0,MAX(1,ROUNDUP(G11/Assumptions!$F$20,0))*Assumptions!$F$24),0)</f>
        <v>0</v>
      </c>
      <c r="H24" s="6" t="n">
        <f aca="false">IF(H6=1,IF(AND(Assumptions!$F$34=3,H11&lt;=Assumptions!$F$45),0,MAX(1,ROUNDUP(H11/Assumptions!$F$20,0))*Assumptions!$F$24),0)</f>
        <v>0</v>
      </c>
      <c r="I24" s="6" t="n">
        <f aca="false">IF(I6=1,IF(AND(Assumptions!$F$34=3,I11&lt;=Assumptions!$F$45),0,MAX(1,ROUNDUP(I11/Assumptions!$F$20,0))*Assumptions!$F$24),0)</f>
        <v>0</v>
      </c>
      <c r="J24" s="6" t="n">
        <f aca="false">IF(J6=1,IF(AND(Assumptions!$F$34=3,J11&lt;=Assumptions!$F$45),0,MAX(1,ROUNDUP(J11/Assumptions!$F$20,0))*Assumptions!$F$24),0)</f>
        <v>0</v>
      </c>
      <c r="K24" s="6" t="n">
        <f aca="false">IF(K6=1,IF(AND(Assumptions!$F$34=3,K11&lt;=Assumptions!$F$45),0,MAX(1,ROUNDUP(K11/Assumptions!$F$20,0))*Assumptions!$F$24),0)</f>
        <v>0</v>
      </c>
      <c r="L24" s="6" t="n">
        <f aca="false">IF(L6=1,IF(AND(Assumptions!$F$34=3,L11&lt;=Assumptions!$F$45),0,MAX(1,ROUNDUP(L11/Assumptions!$F$20,0))*Assumptions!$F$24),0)</f>
        <v>0</v>
      </c>
      <c r="M24" s="6" t="n">
        <f aca="false">IF(M6=1,IF(AND(Assumptions!$F$34=3,M11&lt;=Assumptions!$F$45),0,MAX(1,ROUNDUP(M11/Assumptions!$F$20,0))*Assumptions!$F$24),0)</f>
        <v>0</v>
      </c>
      <c r="N24" s="6" t="n">
        <f aca="false">IF(N6=1,IF(AND(Assumptions!$F$34=3,N11&lt;=Assumptions!$F$45),0,MAX(1,ROUNDUP(N11/Assumptions!$F$20,0))*Assumptions!$F$24),0)</f>
        <v>0</v>
      </c>
      <c r="O24" s="6" t="n">
        <f aca="false">IF(O6=1,IF(AND(Assumptions!$F$34=3,O11&lt;=Assumptions!$F$45),0,MAX(1,ROUNDUP(O11/Assumptions!$F$20,0))*Assumptions!$F$24),0)</f>
        <v>0</v>
      </c>
      <c r="P24" s="6" t="n">
        <f aca="false">IF(P6=1,IF(AND(Assumptions!$F$34=3,P11&lt;=Assumptions!$F$45),0,MAX(1,ROUNDUP(P11/Assumptions!$F$20,0))*Assumptions!$F$24),0)</f>
        <v>0</v>
      </c>
      <c r="Q24" s="6" t="n">
        <f aca="false">IF(Q6=1,IF(AND(Assumptions!$F$34=3,Q11&lt;=Assumptions!$F$45),0,MAX(1,ROUNDUP(Q11/Assumptions!$F$20,0))*Assumptions!$F$24),0)</f>
        <v>0</v>
      </c>
      <c r="R24" s="6" t="n">
        <f aca="false">IF(R6=1,IF(AND(Assumptions!$F$34=3,R11&lt;=Assumptions!$F$45),0,MAX(1,ROUNDUP(R11/Assumptions!$F$20,0))*Assumptions!$F$24),0)</f>
        <v>0</v>
      </c>
      <c r="S24" s="6" t="n">
        <f aca="false">IF(S6=1,IF(AND(Assumptions!$F$34=3,S11&lt;=Assumptions!$F$45),0,MAX(1,ROUNDUP(S11/Assumptions!$F$20,0))*Assumptions!$F$24),0)</f>
        <v>0</v>
      </c>
      <c r="T24" s="6" t="n">
        <f aca="false">IF(T6=1,IF(AND(Assumptions!$F$34=3,T11&lt;=Assumptions!$F$45),0,MAX(1,ROUNDUP(T11/Assumptions!$F$20,0))*Assumptions!$F$24),0)</f>
        <v>0</v>
      </c>
      <c r="U24" s="6" t="n">
        <f aca="false">IF(U6=1,IF(AND(Assumptions!$F$34=3,U11&lt;=Assumptions!$F$45),0,MAX(1,ROUNDUP(U11/Assumptions!$F$20,0))*Assumptions!$F$24),0)</f>
        <v>0</v>
      </c>
      <c r="V24" s="6" t="n">
        <f aca="false">IF(V6=1,IF(AND(Assumptions!$F$34=3,V11&lt;=Assumptions!$F$45),0,MAX(1,ROUNDUP(V11/Assumptions!$F$20,0))*Assumptions!$F$24),0)</f>
        <v>0</v>
      </c>
      <c r="W24" s="6" t="n">
        <f aca="false">IF(W6=1,IF(AND(Assumptions!$F$34=3,W11&lt;=Assumptions!$F$45),0,MAX(1,ROUNDUP(W11/Assumptions!$F$20,0))*Assumptions!$F$24),0)</f>
        <v>8500</v>
      </c>
      <c r="X24" s="6" t="n">
        <f aca="false">IF(X6=1,IF(AND(Assumptions!$F$34=3,X11&lt;=Assumptions!$F$45),0,MAX(1,ROUNDUP(X11/Assumptions!$F$20,0))*Assumptions!$F$24),0)</f>
        <v>8500</v>
      </c>
      <c r="Y24" s="6" t="n">
        <f aca="false">IF(Y6=1,IF(AND(Assumptions!$F$34=3,Y11&lt;=Assumptions!$F$45),0,MAX(1,ROUNDUP(Y11/Assumptions!$F$20,0))*Assumptions!$F$24),0)</f>
        <v>8500</v>
      </c>
      <c r="Z24" s="6" t="n">
        <f aca="false">IF(Z6=1,IF(AND(Assumptions!$F$34=3,Z11&lt;=Assumptions!$F$45),0,MAX(1,ROUNDUP(Z11/Assumptions!$F$20,0))*Assumptions!$F$24),0)</f>
        <v>8500</v>
      </c>
      <c r="AA24" s="6" t="n">
        <f aca="false">IF(AA6=1,IF(AND(Assumptions!$F$34=3,AA11&lt;=Assumptions!$F$45),0,MAX(1,ROUNDUP(AA11/Assumptions!$F$20,0))*Assumptions!$F$24),0)</f>
        <v>8500</v>
      </c>
      <c r="AB24" s="6" t="n">
        <f aca="false">IF(AB6=1,IF(AND(Assumptions!$F$34=3,AB11&lt;=Assumptions!$F$45),0,MAX(1,ROUNDUP(AB11/Assumptions!$F$20,0))*Assumptions!$F$24),0)</f>
        <v>8500</v>
      </c>
      <c r="AC24" s="6" t="n">
        <f aca="false">IF(AC6=1,IF(AND(Assumptions!$F$34=3,AC11&lt;=Assumptions!$F$45),0,MAX(1,ROUNDUP(AC11/Assumptions!$F$20,0))*Assumptions!$F$24),0)</f>
        <v>8500</v>
      </c>
      <c r="AD24" s="6" t="n">
        <f aca="false">IF(AD6=1,IF(AND(Assumptions!$F$34=3,AD11&lt;=Assumptions!$F$45),0,MAX(1,ROUNDUP(AD11/Assumptions!$F$20,0))*Assumptions!$F$24),0)</f>
        <v>8500</v>
      </c>
      <c r="AE24" s="6" t="n">
        <f aca="false">IF(AE6=1,IF(AND(Assumptions!$F$34=3,AE11&lt;=Assumptions!$F$45),0,MAX(1,ROUNDUP(AE11/Assumptions!$F$20,0))*Assumptions!$F$24),0)</f>
        <v>8500</v>
      </c>
      <c r="AF24" s="6" t="n">
        <f aca="false">IF(AF6=1,IF(AND(Assumptions!$F$34=3,AF11&lt;=Assumptions!$F$45),0,MAX(1,ROUNDUP(AF11/Assumptions!$F$20,0))*Assumptions!$F$24),0)</f>
        <v>8500</v>
      </c>
      <c r="AG24" s="6" t="n">
        <f aca="false">IF(AG6=1,IF(AND(Assumptions!$F$34=3,AG11&lt;=Assumptions!$F$45),0,MAX(1,ROUNDUP(AG11/Assumptions!$F$20,0))*Assumptions!$F$24),0)</f>
        <v>8500</v>
      </c>
      <c r="AH24" s="6" t="n">
        <f aca="false">IF(AH6=1,IF(AND(Assumptions!$F$34=3,AH11&lt;=Assumptions!$F$45),0,MAX(1,ROUNDUP(AH11/Assumptions!$F$20,0))*Assumptions!$F$24),0)</f>
        <v>17000</v>
      </c>
      <c r="AI24" s="6" t="n">
        <f aca="false">IF(AI6=1,IF(AND(Assumptions!$F$34=3,AI11&lt;=Assumptions!$F$45),0,MAX(1,ROUNDUP(AI11/Assumptions!$F$20,0))*Assumptions!$F$24),0)</f>
        <v>17000</v>
      </c>
      <c r="AJ24" s="6" t="n">
        <f aca="false">IF(AJ6=1,IF(AND(Assumptions!$F$34=3,AJ11&lt;=Assumptions!$F$45),0,MAX(1,ROUNDUP(AJ11/Assumptions!$F$20,0))*Assumptions!$F$24),0)</f>
        <v>17000</v>
      </c>
      <c r="AK24" s="6" t="n">
        <f aca="false">IF(AK6=1,IF(AND(Assumptions!$F$34=3,AK11&lt;=Assumptions!$F$45),0,MAX(1,ROUNDUP(AK11/Assumptions!$F$20,0))*Assumptions!$F$24),0)</f>
        <v>17000</v>
      </c>
      <c r="AL24" s="6" t="n">
        <f aca="false">IF(AL6=1,IF(AND(Assumptions!$F$34=3,AL11&lt;=Assumptions!$F$45),0,MAX(1,ROUNDUP(AL11/Assumptions!$F$20,0))*Assumptions!$F$24),0)</f>
        <v>17000</v>
      </c>
    </row>
    <row r="25" customFormat="false" ht="15" hidden="false" customHeight="false" outlineLevel="0" collapsed="false">
      <c r="B25" s="14" t="s">
        <v>312</v>
      </c>
      <c r="C25" s="29" t="n">
        <f aca="false">SUM(C19:C24)</f>
        <v>1180</v>
      </c>
      <c r="D25" s="29" t="n">
        <f aca="false">SUM(D19:D24)</f>
        <v>1180</v>
      </c>
      <c r="E25" s="29" t="n">
        <f aca="false">SUM(E19:E24)</f>
        <v>1180</v>
      </c>
      <c r="F25" s="29" t="n">
        <f aca="false">SUM(F19:F24)</f>
        <v>1180</v>
      </c>
      <c r="G25" s="29" t="n">
        <f aca="false">SUM(G19:G24)</f>
        <v>1180</v>
      </c>
      <c r="H25" s="29" t="n">
        <f aca="false">SUM(H19:H24)</f>
        <v>1180</v>
      </c>
      <c r="I25" s="29" t="n">
        <f aca="false">SUM(I19:I24)</f>
        <v>1180</v>
      </c>
      <c r="J25" s="29" t="n">
        <f aca="false">SUM(J19:J24)</f>
        <v>2950</v>
      </c>
      <c r="K25" s="29" t="n">
        <f aca="false">SUM(K19:K24)</f>
        <v>3392.7224</v>
      </c>
      <c r="L25" s="29" t="n">
        <f aca="false">SUM(L19:L24)</f>
        <v>3815.1912</v>
      </c>
      <c r="M25" s="29" t="n">
        <f aca="false">SUM(M19:M24)</f>
        <v>4238.05845016</v>
      </c>
      <c r="N25" s="29" t="n">
        <f aca="false">SUM(N19:N24)</f>
        <v>4781.5468724</v>
      </c>
      <c r="O25" s="29" t="n">
        <f aca="false">SUM(O19:O24)</f>
        <v>5326.19454724514</v>
      </c>
      <c r="P25" s="29" t="n">
        <f aca="false">SUM(P19:P24)</f>
        <v>5872.49061427545</v>
      </c>
      <c r="Q25" s="29" t="n">
        <f aca="false">SUM(Q19:Q24)</f>
        <v>6420.92525639827</v>
      </c>
      <c r="R25" s="29" t="n">
        <f aca="false">SUM(R19:R24)</f>
        <v>6971.99014007395</v>
      </c>
      <c r="S25" s="29" t="n">
        <f aca="false">SUM(S19:S24)</f>
        <v>7526.17885648038</v>
      </c>
      <c r="T25" s="29" t="n">
        <f aca="false">SUM(T19:T24)</f>
        <v>8083.98736401287</v>
      </c>
      <c r="U25" s="29" t="n">
        <f aca="false">SUM(U19:U24)</f>
        <v>8645.9144325162</v>
      </c>
      <c r="V25" s="29" t="n">
        <f aca="false">SUM(V19:V24)</f>
        <v>9212.46208964714</v>
      </c>
      <c r="W25" s="29" t="n">
        <f aca="false">SUM(W19:W24)</f>
        <v>18284.1360697674</v>
      </c>
      <c r="X25" s="29" t="n">
        <f aca="false">SUM(X19:X24)</f>
        <v>18861.4462657682</v>
      </c>
      <c r="Y25" s="29" t="n">
        <f aca="false">SUM(Y19:Y24)</f>
        <v>19444.9071842319</v>
      </c>
      <c r="Z25" s="29" t="n">
        <f aca="false">SUM(Z19:Z24)</f>
        <v>20035.0384043348</v>
      </c>
      <c r="AA25" s="29" t="n">
        <f aca="false">SUM(AA19:AA24)</f>
        <v>20632.3650409035</v>
      </c>
      <c r="AB25" s="29" t="n">
        <f aca="false">SUM(AB19:AB24)</f>
        <v>21237.4182120361</v>
      </c>
      <c r="AC25" s="29" t="n">
        <f aca="false">SUM(AC19:AC24)</f>
        <v>21850.7355117054</v>
      </c>
      <c r="AD25" s="29" t="n">
        <f aca="false">SUM(AD19:AD24)</f>
        <v>22472.8614877657</v>
      </c>
      <c r="AE25" s="29" t="n">
        <f aca="false">SUM(AE19:AE24)</f>
        <v>23104.3481257864</v>
      </c>
      <c r="AF25" s="29" t="n">
        <f aca="false">SUM(AF19:AF24)</f>
        <v>23745.7553391462</v>
      </c>
      <c r="AG25" s="29" t="n">
        <f aca="false">SUM(AG19:AG24)</f>
        <v>24397.6514658191</v>
      </c>
      <c r="AH25" s="29" t="n">
        <f aca="false">SUM(AH19:AH24)</f>
        <v>33560.6137722973</v>
      </c>
      <c r="AI25" s="29" t="n">
        <f aca="false">SUM(AI19:AI24)</f>
        <v>34235.2289650948</v>
      </c>
      <c r="AJ25" s="29" t="n">
        <f aca="false">SUM(AJ19:AJ24)</f>
        <v>34922.0937102873</v>
      </c>
      <c r="AK25" s="29" t="n">
        <f aca="false">SUM(AK19:AK24)</f>
        <v>35621.8151615483</v>
      </c>
      <c r="AL25" s="29" t="n">
        <f aca="false">SUM(AL19:AL24)</f>
        <v>36335.0114971487</v>
      </c>
    </row>
    <row r="26" customFormat="false" ht="15" hidden="false" customHeight="false" outlineLevel="0" collapsed="false">
      <c r="B26" s="14" t="s">
        <v>313</v>
      </c>
      <c r="C26" s="29" t="n">
        <f aca="false">C17-C25</f>
        <v>-1180</v>
      </c>
      <c r="D26" s="29" t="n">
        <f aca="false">D17-D25</f>
        <v>-1180</v>
      </c>
      <c r="E26" s="29" t="n">
        <f aca="false">E17-E25</f>
        <v>-1180</v>
      </c>
      <c r="F26" s="29" t="n">
        <f aca="false">F17-F25</f>
        <v>-1180</v>
      </c>
      <c r="G26" s="29" t="n">
        <f aca="false">G17-G25</f>
        <v>-1180</v>
      </c>
      <c r="H26" s="29" t="n">
        <f aca="false">H17-H25</f>
        <v>-1180</v>
      </c>
      <c r="I26" s="29" t="n">
        <f aca="false">I17-I25</f>
        <v>-1180</v>
      </c>
      <c r="J26" s="29" t="n">
        <f aca="false">J17-J25</f>
        <v>-2950</v>
      </c>
      <c r="K26" s="29" t="n">
        <f aca="false">K17-K25</f>
        <v>-474.7224</v>
      </c>
      <c r="L26" s="29" t="n">
        <f aca="false">L17-L25</f>
        <v>1322.4088</v>
      </c>
      <c r="M26" s="29" t="n">
        <f aca="false">M17-M25</f>
        <v>3121.76774984</v>
      </c>
      <c r="N26" s="29" t="n">
        <f aca="false">N17-N25</f>
        <v>8937.6293676</v>
      </c>
      <c r="O26" s="29" t="n">
        <f aca="false">O17-O25</f>
        <v>14758.9555763349</v>
      </c>
      <c r="P26" s="29" t="n">
        <f aca="false">P17-P25</f>
        <v>20590.9806515006</v>
      </c>
      <c r="Q26" s="29" t="n">
        <f aca="false">Q17-Q25</f>
        <v>26438.9437866849</v>
      </c>
      <c r="R26" s="29" t="n">
        <f aca="false">R17-R25</f>
        <v>32308.0938044557</v>
      </c>
      <c r="S26" s="29" t="n">
        <f aca="false">S17-S25</f>
        <v>38203.6938716345</v>
      </c>
      <c r="T26" s="29" t="n">
        <f aca="false">T17-T25</f>
        <v>44131.0262232372</v>
      </c>
      <c r="U26" s="29" t="n">
        <f aca="false">U17-U25</f>
        <v>50095.3968993245</v>
      </c>
      <c r="V26" s="29" t="n">
        <f aca="false">V17-V25</f>
        <v>56102.1404990126</v>
      </c>
      <c r="W26" s="29" t="n">
        <f aca="false">W17-W25</f>
        <v>53656.6249559102</v>
      </c>
      <c r="X26" s="29" t="n">
        <f aca="false">X17-X25</f>
        <v>59764.2563392568</v>
      </c>
      <c r="Y26" s="29" t="n">
        <f aca="false">Y17-Y25</f>
        <v>65930.4836850638</v>
      </c>
      <c r="Z26" s="29" t="n">
        <f aca="false">Z17-Z25</f>
        <v>72160.8038615762</v>
      </c>
      <c r="AA26" s="29" t="n">
        <f aca="false">AA17-AA25</f>
        <v>78460.766473405</v>
      </c>
      <c r="AB26" s="29" t="n">
        <f aca="false">AB17-AB25</f>
        <v>84835.9788087093</v>
      </c>
      <c r="AC26" s="29" t="n">
        <f aca="false">AC17-AC25</f>
        <v>91292.1108338397</v>
      </c>
      <c r="AD26" s="29" t="n">
        <f aca="false">AD17-AD25</f>
        <v>97834.9002398979</v>
      </c>
      <c r="AE26" s="29" t="n">
        <f aca="false">AE17-AE25</f>
        <v>104470.157545707</v>
      </c>
      <c r="AF26" s="29" t="n">
        <f aca="false">AF17-AF25</f>
        <v>111203.771261731</v>
      </c>
      <c r="AG26" s="29" t="n">
        <f aca="false">AG17-AG25</f>
        <v>118041.713119547</v>
      </c>
      <c r="AH26" s="29" t="n">
        <f aca="false">AH17-AH25</f>
        <v>116490.043371498</v>
      </c>
      <c r="AI26" s="29" t="n">
        <f aca="false">AI17-AI25</f>
        <v>123554.916165257</v>
      </c>
      <c r="AJ26" s="29" t="n">
        <f aca="false">AJ17-AJ25</f>
        <v>130742.58499805</v>
      </c>
      <c r="AK26" s="29" t="n">
        <f aca="false">AK17-AK25</f>
        <v>138059.408255392</v>
      </c>
      <c r="AL26" s="29" t="n">
        <f aca="false">AL17-AL25</f>
        <v>145511.854839232</v>
      </c>
    </row>
    <row r="27" customFormat="false" ht="15" hidden="false" customHeight="false" outlineLevel="0" collapsed="false">
      <c r="B27" s="2" t="s">
        <v>314</v>
      </c>
      <c r="C27" s="13" t="n">
        <f aca="false">IFERROR(C26/C17,0)</f>
        <v>0</v>
      </c>
      <c r="D27" s="13" t="n">
        <f aca="false">IFERROR(D26/D17,0)</f>
        <v>0</v>
      </c>
      <c r="E27" s="13" t="n">
        <f aca="false">IFERROR(E26/E17,0)</f>
        <v>0</v>
      </c>
      <c r="F27" s="13" t="n">
        <f aca="false">IFERROR(F26/F17,0)</f>
        <v>0</v>
      </c>
      <c r="G27" s="13" t="n">
        <f aca="false">IFERROR(G26/G17,0)</f>
        <v>0</v>
      </c>
      <c r="H27" s="13" t="n">
        <f aca="false">IFERROR(H26/H17,0)</f>
        <v>0</v>
      </c>
      <c r="I27" s="13" t="n">
        <f aca="false">IFERROR(I26/I17,0)</f>
        <v>0</v>
      </c>
      <c r="J27" s="13" t="n">
        <f aca="false">IFERROR(J26/J17,0)</f>
        <v>0</v>
      </c>
      <c r="K27" s="13" t="n">
        <f aca="false">IFERROR(K26/K17,0)</f>
        <v>-0.162687594242632</v>
      </c>
      <c r="L27" s="13" t="n">
        <f aca="false">IFERROR(L26/L17,0)</f>
        <v>0.257398162566179</v>
      </c>
      <c r="M27" s="13" t="n">
        <f aca="false">IFERROR(M26/M17,0)</f>
        <v>0.424163243126584</v>
      </c>
      <c r="N27" s="13" t="n">
        <f aca="false">IFERROR(N26/N17,0)</f>
        <v>0.651469826704406</v>
      </c>
      <c r="O27" s="13" t="n">
        <f aca="false">IFERROR(O26/O17,0)</f>
        <v>0.734819281186642</v>
      </c>
      <c r="P27" s="13" t="n">
        <f aca="false">IFERROR(P26/P17,0)</f>
        <v>0.778090691304354</v>
      </c>
      <c r="Q27" s="13" t="n">
        <f aca="false">IFERROR(Q26/Q17,0)</f>
        <v>0.804596748453876</v>
      </c>
      <c r="R27" s="13" t="n">
        <f aca="false">IFERROR(R26/R17,0)</f>
        <v>0.822505721985737</v>
      </c>
      <c r="S27" s="13" t="n">
        <f aca="false">IFERROR(S26/S17,0)</f>
        <v>0.835420953361778</v>
      </c>
      <c r="T27" s="13" t="n">
        <f aca="false">IFERROR(T26/T17,0)</f>
        <v>0.845178870814527</v>
      </c>
      <c r="U27" s="13" t="n">
        <f aca="false">IFERROR(U26/U17,0)</f>
        <v>0.852813731316385</v>
      </c>
      <c r="V27" s="13" t="n">
        <f aca="false">IFERROR(V26/V17,0)</f>
        <v>0.858952489573187</v>
      </c>
      <c r="W27" s="13" t="n">
        <f aca="false">IFERROR(W26/W17,0)</f>
        <v>0.745844555866718</v>
      </c>
      <c r="X27" s="13" t="n">
        <f aca="false">IFERROR(X26/X17,0)</f>
        <v>0.760110935217731</v>
      </c>
      <c r="Y27" s="13" t="n">
        <f aca="false">IFERROR(Y26/Y17,0)</f>
        <v>0.772242247019392</v>
      </c>
      <c r="Z27" s="13" t="n">
        <f aca="false">IFERROR(Z26/Z17,0)</f>
        <v>0.782690434710171</v>
      </c>
      <c r="AA27" s="13" t="n">
        <f aca="false">IFERROR(AA26/AA17,0)</f>
        <v>0.791788141866076</v>
      </c>
      <c r="AB27" s="13" t="n">
        <f aca="false">IFERROR(AB26/AB17,0)</f>
        <v>0.799785631378596</v>
      </c>
      <c r="AC27" s="13" t="n">
        <f aca="false">IFERROR(AC26/AC17,0)</f>
        <v>0.806874793966452</v>
      </c>
      <c r="AD27" s="13" t="n">
        <f aca="false">IFERROR(AD26/AD17,0)</f>
        <v>0.813205223295263</v>
      </c>
      <c r="AE27" s="13" t="n">
        <f aca="false">IFERROR(AE26/AE17,0)</f>
        <v>0.818895256507749</v>
      </c>
      <c r="AF27" s="13" t="n">
        <f aca="false">IFERROR(AF26/AF17,0)</f>
        <v>0.824039728502524</v>
      </c>
      <c r="AG27" s="13" t="n">
        <f aca="false">IFERROR(AG26/AG17,0)</f>
        <v>0.828715527222131</v>
      </c>
      <c r="AH27" s="13" t="n">
        <f aca="false">IFERROR(AH26/AH17,0)</f>
        <v>0.776338108668623</v>
      </c>
      <c r="AI27" s="13" t="n">
        <f aca="false">IFERROR(AI26/AI17,0)</f>
        <v>0.783033161311736</v>
      </c>
      <c r="AJ27" s="13" t="n">
        <f aca="false">IFERROR(AJ26/AJ17,0)</f>
        <v>0.789200124114751</v>
      </c>
      <c r="AK27" s="13" t="n">
        <f aca="false">IFERROR(AK26/AK17,0)</f>
        <v>0.794901173191103</v>
      </c>
      <c r="AL27" s="13" t="n">
        <f aca="false">IFERROR(AL26/AL17,0)</f>
        <v>0.800188959924467</v>
      </c>
    </row>
    <row r="29" customFormat="false" ht="15" hidden="false" customHeight="false" outlineLevel="0" collapsed="false">
      <c r="B29" s="2" t="s">
        <v>315</v>
      </c>
      <c r="C29" s="6" t="n">
        <f aca="false">CHOOSE(Assumptions!$F$34,SUMPRODUCT((Staffing!$D$5:$D$15&lt;=C4)*Staffing!$C$5:$C$15),SUMPRODUCT((Staffing!$F$5:$F$15&lt;=C4)*Staffing!$E$5:$E$15),SUMPRODUCT((Staffing!$H$5:$H$15&lt;=C4)*Staffing!$G$5:$G$15))</f>
        <v>25000</v>
      </c>
      <c r="D29" s="6" t="n">
        <f aca="false">CHOOSE(Assumptions!$F$34,SUMPRODUCT((Staffing!$D$5:$D$15&lt;=D4)*Staffing!$C$5:$C$15),SUMPRODUCT((Staffing!$F$5:$F$15&lt;=D4)*Staffing!$E$5:$E$15),SUMPRODUCT((Staffing!$H$5:$H$15&lt;=D4)*Staffing!$G$5:$G$15))</f>
        <v>25000</v>
      </c>
      <c r="E29" s="6" t="n">
        <f aca="false">CHOOSE(Assumptions!$F$34,SUMPRODUCT((Staffing!$D$5:$D$15&lt;=E4)*Staffing!$C$5:$C$15),SUMPRODUCT((Staffing!$F$5:$F$15&lt;=E4)*Staffing!$E$5:$E$15),SUMPRODUCT((Staffing!$H$5:$H$15&lt;=E4)*Staffing!$G$5:$G$15))</f>
        <v>28000</v>
      </c>
      <c r="F29" s="6" t="n">
        <f aca="false">CHOOSE(Assumptions!$F$34,SUMPRODUCT((Staffing!$D$5:$D$15&lt;=F4)*Staffing!$C$5:$C$15),SUMPRODUCT((Staffing!$F$5:$F$15&lt;=F4)*Staffing!$E$5:$E$15),SUMPRODUCT((Staffing!$H$5:$H$15&lt;=F4)*Staffing!$G$5:$G$15))</f>
        <v>28000</v>
      </c>
      <c r="G29" s="6" t="n">
        <f aca="false">CHOOSE(Assumptions!$F$34,SUMPRODUCT((Staffing!$D$5:$D$15&lt;=G4)*Staffing!$C$5:$C$15),SUMPRODUCT((Staffing!$F$5:$F$15&lt;=G4)*Staffing!$E$5:$E$15),SUMPRODUCT((Staffing!$H$5:$H$15&lt;=G4)*Staffing!$G$5:$G$15))</f>
        <v>28000</v>
      </c>
      <c r="H29" s="6" t="n">
        <f aca="false">CHOOSE(Assumptions!$F$34,SUMPRODUCT((Staffing!$D$5:$D$15&lt;=H4)*Staffing!$C$5:$C$15),SUMPRODUCT((Staffing!$F$5:$F$15&lt;=H4)*Staffing!$E$5:$E$15),SUMPRODUCT((Staffing!$H$5:$H$15&lt;=H4)*Staffing!$G$5:$G$15))</f>
        <v>28000</v>
      </c>
      <c r="I29" s="6" t="n">
        <f aca="false">CHOOSE(Assumptions!$F$34,SUMPRODUCT((Staffing!$D$5:$D$15&lt;=I4)*Staffing!$C$5:$C$15),SUMPRODUCT((Staffing!$F$5:$F$15&lt;=I4)*Staffing!$E$5:$E$15),SUMPRODUCT((Staffing!$H$5:$H$15&lt;=I4)*Staffing!$G$5:$G$15))</f>
        <v>28000</v>
      </c>
      <c r="J29" s="6" t="n">
        <f aca="false">CHOOSE(Assumptions!$F$34,SUMPRODUCT((Staffing!$D$5:$D$15&lt;=J4)*Staffing!$C$5:$C$15),SUMPRODUCT((Staffing!$F$5:$F$15&lt;=J4)*Staffing!$E$5:$E$15),SUMPRODUCT((Staffing!$H$5:$H$15&lt;=J4)*Staffing!$G$5:$G$15))</f>
        <v>28000</v>
      </c>
      <c r="K29" s="6" t="n">
        <f aca="false">CHOOSE(Assumptions!$F$34,SUMPRODUCT((Staffing!$D$5:$D$15&lt;=K4)*Staffing!$C$5:$C$15),SUMPRODUCT((Staffing!$F$5:$F$15&lt;=K4)*Staffing!$E$5:$E$15),SUMPRODUCT((Staffing!$H$5:$H$15&lt;=K4)*Staffing!$G$5:$G$15))</f>
        <v>28000</v>
      </c>
      <c r="L29" s="6" t="n">
        <f aca="false">CHOOSE(Assumptions!$F$34,SUMPRODUCT((Staffing!$D$5:$D$15&lt;=L4)*Staffing!$C$5:$C$15),SUMPRODUCT((Staffing!$F$5:$F$15&lt;=L4)*Staffing!$E$5:$E$15),SUMPRODUCT((Staffing!$H$5:$H$15&lt;=L4)*Staffing!$G$5:$G$15))</f>
        <v>28000</v>
      </c>
      <c r="M29" s="6" t="n">
        <f aca="false">CHOOSE(Assumptions!$F$34,SUMPRODUCT((Staffing!$D$5:$D$15&lt;=M4)*Staffing!$C$5:$C$15),SUMPRODUCT((Staffing!$F$5:$F$15&lt;=M4)*Staffing!$E$5:$E$15),SUMPRODUCT((Staffing!$H$5:$H$15&lt;=M4)*Staffing!$G$5:$G$15))</f>
        <v>28000</v>
      </c>
      <c r="N29" s="6" t="n">
        <f aca="false">CHOOSE(Assumptions!$F$34,SUMPRODUCT((Staffing!$D$5:$D$15&lt;=N4)*Staffing!$C$5:$C$15),SUMPRODUCT((Staffing!$F$5:$F$15&lt;=N4)*Staffing!$E$5:$E$15),SUMPRODUCT((Staffing!$H$5:$H$15&lt;=N4)*Staffing!$G$5:$G$15))</f>
        <v>28000</v>
      </c>
      <c r="O29" s="6" t="n">
        <f aca="false">CHOOSE(Assumptions!$F$34,SUMPRODUCT((Staffing!$D$5:$D$15&lt;=O4)*Staffing!$C$5:$C$15),SUMPRODUCT((Staffing!$F$5:$F$15&lt;=O4)*Staffing!$E$5:$E$15),SUMPRODUCT((Staffing!$H$5:$H$15&lt;=O4)*Staffing!$G$5:$G$15))</f>
        <v>28000</v>
      </c>
      <c r="P29" s="6" t="n">
        <f aca="false">CHOOSE(Assumptions!$F$34,SUMPRODUCT((Staffing!$D$5:$D$15&lt;=P4)*Staffing!$C$5:$C$15),SUMPRODUCT((Staffing!$F$5:$F$15&lt;=P4)*Staffing!$E$5:$E$15),SUMPRODUCT((Staffing!$H$5:$H$15&lt;=P4)*Staffing!$G$5:$G$15))</f>
        <v>28000</v>
      </c>
      <c r="Q29" s="6" t="n">
        <f aca="false">CHOOSE(Assumptions!$F$34,SUMPRODUCT((Staffing!$D$5:$D$15&lt;=Q4)*Staffing!$C$5:$C$15),SUMPRODUCT((Staffing!$F$5:$F$15&lt;=Q4)*Staffing!$E$5:$E$15),SUMPRODUCT((Staffing!$H$5:$H$15&lt;=Q4)*Staffing!$G$5:$G$15))</f>
        <v>28000</v>
      </c>
      <c r="R29" s="6" t="n">
        <f aca="false">CHOOSE(Assumptions!$F$34,SUMPRODUCT((Staffing!$D$5:$D$15&lt;=R4)*Staffing!$C$5:$C$15),SUMPRODUCT((Staffing!$F$5:$F$15&lt;=R4)*Staffing!$E$5:$E$15),SUMPRODUCT((Staffing!$H$5:$H$15&lt;=R4)*Staffing!$G$5:$G$15))</f>
        <v>28000</v>
      </c>
      <c r="S29" s="6" t="n">
        <f aca="false">CHOOSE(Assumptions!$F$34,SUMPRODUCT((Staffing!$D$5:$D$15&lt;=S4)*Staffing!$C$5:$C$15),SUMPRODUCT((Staffing!$F$5:$F$15&lt;=S4)*Staffing!$E$5:$E$15),SUMPRODUCT((Staffing!$H$5:$H$15&lt;=S4)*Staffing!$G$5:$G$15))</f>
        <v>28000</v>
      </c>
      <c r="T29" s="6" t="n">
        <f aca="false">CHOOSE(Assumptions!$F$34,SUMPRODUCT((Staffing!$D$5:$D$15&lt;=T4)*Staffing!$C$5:$C$15),SUMPRODUCT((Staffing!$F$5:$F$15&lt;=T4)*Staffing!$E$5:$E$15),SUMPRODUCT((Staffing!$H$5:$H$15&lt;=T4)*Staffing!$G$5:$G$15))</f>
        <v>28000</v>
      </c>
      <c r="U29" s="6" t="n">
        <f aca="false">CHOOSE(Assumptions!$F$34,SUMPRODUCT((Staffing!$D$5:$D$15&lt;=U4)*Staffing!$C$5:$C$15),SUMPRODUCT((Staffing!$F$5:$F$15&lt;=U4)*Staffing!$E$5:$E$15),SUMPRODUCT((Staffing!$H$5:$H$15&lt;=U4)*Staffing!$G$5:$G$15))</f>
        <v>46000</v>
      </c>
      <c r="V29" s="6" t="n">
        <f aca="false">CHOOSE(Assumptions!$F$34,SUMPRODUCT((Staffing!$D$5:$D$15&lt;=V4)*Staffing!$C$5:$C$15),SUMPRODUCT((Staffing!$F$5:$F$15&lt;=V4)*Staffing!$E$5:$E$15),SUMPRODUCT((Staffing!$H$5:$H$15&lt;=V4)*Staffing!$G$5:$G$15))</f>
        <v>46000</v>
      </c>
      <c r="W29" s="6" t="n">
        <f aca="false">CHOOSE(Assumptions!$F$34,SUMPRODUCT((Staffing!$D$5:$D$15&lt;=W4)*Staffing!$C$5:$C$15),SUMPRODUCT((Staffing!$F$5:$F$15&lt;=W4)*Staffing!$E$5:$E$15),SUMPRODUCT((Staffing!$H$5:$H$15&lt;=W4)*Staffing!$G$5:$G$15))</f>
        <v>46000</v>
      </c>
      <c r="X29" s="6" t="n">
        <f aca="false">CHOOSE(Assumptions!$F$34,SUMPRODUCT((Staffing!$D$5:$D$15&lt;=X4)*Staffing!$C$5:$C$15),SUMPRODUCT((Staffing!$F$5:$F$15&lt;=X4)*Staffing!$E$5:$E$15),SUMPRODUCT((Staffing!$H$5:$H$15&lt;=X4)*Staffing!$G$5:$G$15))</f>
        <v>46000</v>
      </c>
      <c r="Y29" s="6" t="n">
        <f aca="false">CHOOSE(Assumptions!$F$34,SUMPRODUCT((Staffing!$D$5:$D$15&lt;=Y4)*Staffing!$C$5:$C$15),SUMPRODUCT((Staffing!$F$5:$F$15&lt;=Y4)*Staffing!$E$5:$E$15),SUMPRODUCT((Staffing!$H$5:$H$15&lt;=Y4)*Staffing!$G$5:$G$15))</f>
        <v>46000</v>
      </c>
      <c r="Z29" s="6" t="n">
        <f aca="false">CHOOSE(Assumptions!$F$34,SUMPRODUCT((Staffing!$D$5:$D$15&lt;=Z4)*Staffing!$C$5:$C$15),SUMPRODUCT((Staffing!$F$5:$F$15&lt;=Z4)*Staffing!$E$5:$E$15),SUMPRODUCT((Staffing!$H$5:$H$15&lt;=Z4)*Staffing!$G$5:$G$15))</f>
        <v>46000</v>
      </c>
      <c r="AA29" s="6" t="n">
        <f aca="false">CHOOSE(Assumptions!$F$34,SUMPRODUCT((Staffing!$D$5:$D$15&lt;=AA4)*Staffing!$C$5:$C$15),SUMPRODUCT((Staffing!$F$5:$F$15&lt;=AA4)*Staffing!$E$5:$E$15),SUMPRODUCT((Staffing!$H$5:$H$15&lt;=AA4)*Staffing!$G$5:$G$15))</f>
        <v>58500</v>
      </c>
      <c r="AB29" s="6" t="n">
        <f aca="false">CHOOSE(Assumptions!$F$34,SUMPRODUCT((Staffing!$D$5:$D$15&lt;=AB4)*Staffing!$C$5:$C$15),SUMPRODUCT((Staffing!$F$5:$F$15&lt;=AB4)*Staffing!$E$5:$E$15),SUMPRODUCT((Staffing!$H$5:$H$15&lt;=AB4)*Staffing!$G$5:$G$15))</f>
        <v>58500</v>
      </c>
      <c r="AC29" s="6" t="n">
        <f aca="false">CHOOSE(Assumptions!$F$34,SUMPRODUCT((Staffing!$D$5:$D$15&lt;=AC4)*Staffing!$C$5:$C$15),SUMPRODUCT((Staffing!$F$5:$F$15&lt;=AC4)*Staffing!$E$5:$E$15),SUMPRODUCT((Staffing!$H$5:$H$15&lt;=AC4)*Staffing!$G$5:$G$15))</f>
        <v>58500</v>
      </c>
      <c r="AD29" s="6" t="n">
        <f aca="false">CHOOSE(Assumptions!$F$34,SUMPRODUCT((Staffing!$D$5:$D$15&lt;=AD4)*Staffing!$C$5:$C$15),SUMPRODUCT((Staffing!$F$5:$F$15&lt;=AD4)*Staffing!$E$5:$E$15),SUMPRODUCT((Staffing!$H$5:$H$15&lt;=AD4)*Staffing!$G$5:$G$15))</f>
        <v>58500</v>
      </c>
      <c r="AE29" s="6" t="n">
        <f aca="false">CHOOSE(Assumptions!$F$34,SUMPRODUCT((Staffing!$D$5:$D$15&lt;=AE4)*Staffing!$C$5:$C$15),SUMPRODUCT((Staffing!$F$5:$F$15&lt;=AE4)*Staffing!$E$5:$E$15),SUMPRODUCT((Staffing!$H$5:$H$15&lt;=AE4)*Staffing!$G$5:$G$15))</f>
        <v>58500</v>
      </c>
      <c r="AF29" s="6" t="n">
        <f aca="false">CHOOSE(Assumptions!$F$34,SUMPRODUCT((Staffing!$D$5:$D$15&lt;=AF4)*Staffing!$C$5:$C$15),SUMPRODUCT((Staffing!$F$5:$F$15&lt;=AF4)*Staffing!$E$5:$E$15),SUMPRODUCT((Staffing!$H$5:$H$15&lt;=AF4)*Staffing!$G$5:$G$15))</f>
        <v>58500</v>
      </c>
      <c r="AG29" s="6" t="n">
        <f aca="false">CHOOSE(Assumptions!$F$34,SUMPRODUCT((Staffing!$D$5:$D$15&lt;=AG4)*Staffing!$C$5:$C$15),SUMPRODUCT((Staffing!$F$5:$F$15&lt;=AG4)*Staffing!$E$5:$E$15),SUMPRODUCT((Staffing!$H$5:$H$15&lt;=AG4)*Staffing!$G$5:$G$15))</f>
        <v>58500</v>
      </c>
      <c r="AH29" s="6" t="n">
        <f aca="false">CHOOSE(Assumptions!$F$34,SUMPRODUCT((Staffing!$D$5:$D$15&lt;=AH4)*Staffing!$C$5:$C$15),SUMPRODUCT((Staffing!$F$5:$F$15&lt;=AH4)*Staffing!$E$5:$E$15),SUMPRODUCT((Staffing!$H$5:$H$15&lt;=AH4)*Staffing!$G$5:$G$15))</f>
        <v>58500</v>
      </c>
      <c r="AI29" s="6" t="n">
        <f aca="false">CHOOSE(Assumptions!$F$34,SUMPRODUCT((Staffing!$D$5:$D$15&lt;=AI4)*Staffing!$C$5:$C$15),SUMPRODUCT((Staffing!$F$5:$F$15&lt;=AI4)*Staffing!$E$5:$E$15),SUMPRODUCT((Staffing!$H$5:$H$15&lt;=AI4)*Staffing!$G$5:$G$15))</f>
        <v>58500</v>
      </c>
      <c r="AJ29" s="6" t="n">
        <f aca="false">CHOOSE(Assumptions!$F$34,SUMPRODUCT((Staffing!$D$5:$D$15&lt;=AJ4)*Staffing!$C$5:$C$15),SUMPRODUCT((Staffing!$F$5:$F$15&lt;=AJ4)*Staffing!$E$5:$E$15),SUMPRODUCT((Staffing!$H$5:$H$15&lt;=AJ4)*Staffing!$G$5:$G$15))</f>
        <v>58500</v>
      </c>
      <c r="AK29" s="6" t="n">
        <f aca="false">CHOOSE(Assumptions!$F$34,SUMPRODUCT((Staffing!$D$5:$D$15&lt;=AK4)*Staffing!$C$5:$C$15),SUMPRODUCT((Staffing!$F$5:$F$15&lt;=AK4)*Staffing!$E$5:$E$15),SUMPRODUCT((Staffing!$H$5:$H$15&lt;=AK4)*Staffing!$G$5:$G$15))</f>
        <v>58500</v>
      </c>
      <c r="AL29" s="6" t="n">
        <f aca="false">CHOOSE(Assumptions!$F$34,SUMPRODUCT((Staffing!$D$5:$D$15&lt;=AL4)*Staffing!$C$5:$C$15),SUMPRODUCT((Staffing!$F$5:$F$15&lt;=AL4)*Staffing!$E$5:$E$15),SUMPRODUCT((Staffing!$H$5:$H$15&lt;=AL4)*Staffing!$G$5:$G$15))</f>
        <v>58500</v>
      </c>
    </row>
    <row r="30" customFormat="false" ht="15" hidden="false" customHeight="false" outlineLevel="0" collapsed="false">
      <c r="B30" s="2" t="s">
        <v>316</v>
      </c>
      <c r="C30" s="6" t="n">
        <f aca="false">C9*Assumptions!$F$21+IF(C4&gt;=Assumptions!$F$7-2,IF(Assumptions!$F$34=3,Assumptions!$F$41,Assumptions!$F$25),0)</f>
        <v>0</v>
      </c>
      <c r="D30" s="6" t="n">
        <f aca="false">D9*Assumptions!$F$21+IF(D4&gt;=Assumptions!$F$7-2,IF(Assumptions!$F$34=3,Assumptions!$F$41,Assumptions!$F$25),0)</f>
        <v>0</v>
      </c>
      <c r="E30" s="6" t="n">
        <f aca="false">E9*Assumptions!$F$21+IF(E4&gt;=Assumptions!$F$7-2,IF(Assumptions!$F$34=3,Assumptions!$F$41,Assumptions!$F$25),0)</f>
        <v>0</v>
      </c>
      <c r="F30" s="6" t="n">
        <f aca="false">F9*Assumptions!$F$21+IF(F4&gt;=Assumptions!$F$7-2,IF(Assumptions!$F$34=3,Assumptions!$F$41,Assumptions!$F$25),0)</f>
        <v>0</v>
      </c>
      <c r="G30" s="6" t="n">
        <f aca="false">G9*Assumptions!$F$21+IF(G4&gt;=Assumptions!$F$7-2,IF(Assumptions!$F$34=3,Assumptions!$F$41,Assumptions!$F$25),0)</f>
        <v>0</v>
      </c>
      <c r="H30" s="6" t="n">
        <f aca="false">H9*Assumptions!$F$21+IF(H4&gt;=Assumptions!$F$7-2,IF(Assumptions!$F$34=3,Assumptions!$F$41,Assumptions!$F$25),0)</f>
        <v>0</v>
      </c>
      <c r="I30" s="6" t="n">
        <f aca="false">I9*Assumptions!$F$21+IF(I4&gt;=Assumptions!$F$7-2,IF(Assumptions!$F$34=3,Assumptions!$F$41,Assumptions!$F$25),0)</f>
        <v>1500</v>
      </c>
      <c r="J30" s="6" t="n">
        <f aca="false">J9*Assumptions!$F$21+IF(J4&gt;=Assumptions!$F$7-2,IF(Assumptions!$F$34=3,Assumptions!$F$41,Assumptions!$F$25),0)</f>
        <v>1500</v>
      </c>
      <c r="K30" s="6" t="n">
        <f aca="false">K9*Assumptions!$F$21+IF(K4&gt;=Assumptions!$F$7-2,IF(Assumptions!$F$34=3,Assumptions!$F$41,Assumptions!$F$25),0)</f>
        <v>6500</v>
      </c>
      <c r="L30" s="6" t="n">
        <f aca="false">L9*Assumptions!$F$21+IF(L4&gt;=Assumptions!$F$7-2,IF(Assumptions!$F$34=3,Assumptions!$F$41,Assumptions!$F$25),0)</f>
        <v>6650</v>
      </c>
      <c r="M30" s="6" t="n">
        <f aca="false">M9*Assumptions!$F$21+IF(M4&gt;=Assumptions!$F$7-2,IF(Assumptions!$F$34=3,Assumptions!$F$41,Assumptions!$F$25),0)</f>
        <v>6804.5</v>
      </c>
      <c r="N30" s="6" t="n">
        <f aca="false">N9*Assumptions!$F$21+IF(N4&gt;=Assumptions!$F$7-2,IF(Assumptions!$F$34=3,Assumptions!$F$41,Assumptions!$F$25),0)</f>
        <v>6963.635</v>
      </c>
      <c r="O30" s="6" t="n">
        <f aca="false">O9*Assumptions!$F$21+IF(O4&gt;=Assumptions!$F$7-2,IF(Assumptions!$F$34=3,Assumptions!$F$41,Assumptions!$F$25),0)</f>
        <v>7127.54405</v>
      </c>
      <c r="P30" s="6" t="n">
        <f aca="false">P9*Assumptions!$F$21+IF(P4&gt;=Assumptions!$F$7-2,IF(Assumptions!$F$34=3,Assumptions!$F$41,Assumptions!$F$25),0)</f>
        <v>7296.3703715</v>
      </c>
      <c r="Q30" s="6" t="n">
        <f aca="false">Q9*Assumptions!$F$21+IF(Q4&gt;=Assumptions!$F$7-2,IF(Assumptions!$F$34=3,Assumptions!$F$41,Assumptions!$F$25),0)</f>
        <v>7470.261482645</v>
      </c>
      <c r="R30" s="6" t="n">
        <f aca="false">R9*Assumptions!$F$21+IF(R4&gt;=Assumptions!$F$7-2,IF(Assumptions!$F$34=3,Assumptions!$F$41,Assumptions!$F$25),0)</f>
        <v>7649.36932712435</v>
      </c>
      <c r="S30" s="6" t="n">
        <f aca="false">S9*Assumptions!$F$21+IF(S4&gt;=Assumptions!$F$7-2,IF(Assumptions!$F$34=3,Assumptions!$F$41,Assumptions!$F$25),0)</f>
        <v>7833.85040693808</v>
      </c>
      <c r="T30" s="6" t="n">
        <f aca="false">T9*Assumptions!$F$21+IF(T4&gt;=Assumptions!$F$7-2,IF(Assumptions!$F$34=3,Assumptions!$F$41,Assumptions!$F$25),0)</f>
        <v>8023.86591914623</v>
      </c>
      <c r="U30" s="6" t="n">
        <f aca="false">U9*Assumptions!$F$21+IF(U4&gt;=Assumptions!$F$7-2,IF(Assumptions!$F$34=3,Assumptions!$F$41,Assumptions!$F$25),0)</f>
        <v>8219.58189672061</v>
      </c>
      <c r="V30" s="6" t="n">
        <f aca="false">V9*Assumptions!$F$21+IF(V4&gt;=Assumptions!$F$7-2,IF(Assumptions!$F$34=3,Assumptions!$F$41,Assumptions!$F$25),0)</f>
        <v>8421.16935362223</v>
      </c>
      <c r="W30" s="6" t="n">
        <f aca="false">W9*Assumptions!$F$21+IF(W4&gt;=Assumptions!$F$7-2,IF(Assumptions!$F$34=3,Assumptions!$F$41,Assumptions!$F$25),0)</f>
        <v>8628.8044342309</v>
      </c>
      <c r="X30" s="6" t="n">
        <f aca="false">X9*Assumptions!$F$21+IF(X4&gt;=Assumptions!$F$7-2,IF(Assumptions!$F$34=3,Assumptions!$F$41,Assumptions!$F$25),0)</f>
        <v>8842.66856725782</v>
      </c>
      <c r="Y30" s="6" t="n">
        <f aca="false">Y9*Assumptions!$F$21+IF(Y4&gt;=Assumptions!$F$7-2,IF(Assumptions!$F$34=3,Assumptions!$F$41,Assumptions!$F$25),0)</f>
        <v>9062.94862427556</v>
      </c>
      <c r="Z30" s="6" t="n">
        <f aca="false">Z9*Assumptions!$F$21+IF(Z4&gt;=Assumptions!$F$7-2,IF(Assumptions!$F$34=3,Assumptions!$F$41,Assumptions!$F$25),0)</f>
        <v>9289.83708300383</v>
      </c>
      <c r="AA30" s="6" t="n">
        <f aca="false">AA9*Assumptions!$F$21+IF(AA4&gt;=Assumptions!$F$7-2,IF(Assumptions!$F$34=3,Assumptions!$F$41,Assumptions!$F$25),0)</f>
        <v>9523.53219549394</v>
      </c>
      <c r="AB30" s="6" t="n">
        <f aca="false">AB9*Assumptions!$F$21+IF(AB4&gt;=Assumptions!$F$7-2,IF(Assumptions!$F$34=3,Assumptions!$F$41,Assumptions!$F$25),0)</f>
        <v>9764.23816135876</v>
      </c>
      <c r="AC30" s="6" t="n">
        <f aca="false">AC9*Assumptions!$F$21+IF(AC4&gt;=Assumptions!$F$7-2,IF(Assumptions!$F$34=3,Assumptions!$F$41,Assumptions!$F$25),0)</f>
        <v>10012.1653061995</v>
      </c>
      <c r="AD30" s="6" t="n">
        <f aca="false">AD9*Assumptions!$F$21+IF(AD4&gt;=Assumptions!$F$7-2,IF(Assumptions!$F$34=3,Assumptions!$F$41,Assumptions!$F$25),0)</f>
        <v>10267.5302653855</v>
      </c>
      <c r="AE30" s="6" t="n">
        <f aca="false">AE9*Assumptions!$F$21+IF(AE4&gt;=Assumptions!$F$7-2,IF(Assumptions!$F$34=3,Assumptions!$F$41,Assumptions!$F$25),0)</f>
        <v>10530.5561733471</v>
      </c>
      <c r="AF30" s="6" t="n">
        <f aca="false">AF9*Assumptions!$F$21+IF(AF4&gt;=Assumptions!$F$7-2,IF(Assumptions!$F$34=3,Assumptions!$F$41,Assumptions!$F$25),0)</f>
        <v>10801.4728585475</v>
      </c>
      <c r="AG30" s="6" t="n">
        <f aca="false">AG9*Assumptions!$F$21+IF(AG4&gt;=Assumptions!$F$7-2,IF(Assumptions!$F$34=3,Assumptions!$F$41,Assumptions!$F$25),0)</f>
        <v>11080.5170443039</v>
      </c>
      <c r="AH30" s="6" t="n">
        <f aca="false">AH9*Assumptions!$F$21+IF(AH4&gt;=Assumptions!$F$7-2,IF(Assumptions!$F$34=3,Assumptions!$F$41,Assumptions!$F$25),0)</f>
        <v>11367.932555633</v>
      </c>
      <c r="AI30" s="6" t="n">
        <f aca="false">AI9*Assumptions!$F$21+IF(AI4&gt;=Assumptions!$F$7-2,IF(Assumptions!$F$34=3,Assumptions!$F$41,Assumptions!$F$25),0)</f>
        <v>11663.970532302</v>
      </c>
      <c r="AJ30" s="6" t="n">
        <f aca="false">AJ9*Assumptions!$F$21+IF(AJ4&gt;=Assumptions!$F$7-2,IF(Assumptions!$F$34=3,Assumptions!$F$41,Assumptions!$F$25),0)</f>
        <v>11968.8896482711</v>
      </c>
      <c r="AK30" s="6" t="n">
        <f aca="false">AK9*Assumptions!$F$21+IF(AK4&gt;=Assumptions!$F$7-2,IF(Assumptions!$F$34=3,Assumptions!$F$41,Assumptions!$F$25),0)</f>
        <v>12282.9563377192</v>
      </c>
      <c r="AL30" s="6" t="n">
        <f aca="false">AL9*Assumptions!$F$21+IF(AL4&gt;=Assumptions!$F$7-2,IF(Assumptions!$F$34=3,Assumptions!$F$41,Assumptions!$F$25),0)</f>
        <v>12606.4450278508</v>
      </c>
    </row>
    <row r="31" customFormat="false" ht="15" hidden="false" customHeight="false" outlineLevel="0" collapsed="false">
      <c r="B31" s="2" t="s">
        <v>317</v>
      </c>
      <c r="C31" s="6" t="n">
        <f aca="false">IF(Assumptions!$F$34=3,Infrastructure!$E$28,Infrastructure!$C$28)</f>
        <v>1300</v>
      </c>
      <c r="D31" s="6" t="n">
        <f aca="false">IF(Assumptions!$F$34=3,Infrastructure!$E$28,Infrastructure!$C$28)</f>
        <v>1300</v>
      </c>
      <c r="E31" s="6" t="n">
        <f aca="false">IF(Assumptions!$F$34=3,Infrastructure!$E$28,Infrastructure!$C$28)</f>
        <v>1300</v>
      </c>
      <c r="F31" s="6" t="n">
        <f aca="false">IF(Assumptions!$F$34=3,Infrastructure!$E$28,Infrastructure!$C$28)</f>
        <v>1300</v>
      </c>
      <c r="G31" s="6" t="n">
        <f aca="false">IF(Assumptions!$F$34=3,Infrastructure!$E$28,Infrastructure!$C$28)</f>
        <v>1300</v>
      </c>
      <c r="H31" s="6" t="n">
        <f aca="false">IF(Assumptions!$F$34=3,Infrastructure!$E$28,Infrastructure!$C$28)</f>
        <v>1300</v>
      </c>
      <c r="I31" s="6" t="n">
        <f aca="false">IF(Assumptions!$F$34=3,Infrastructure!$E$28,Infrastructure!$C$28)</f>
        <v>1300</v>
      </c>
      <c r="J31" s="6" t="n">
        <f aca="false">IF(Assumptions!$F$34=3,Infrastructure!$E$28,Infrastructure!$C$28)</f>
        <v>1300</v>
      </c>
      <c r="K31" s="6" t="n">
        <f aca="false">IF(Assumptions!$F$34=3,Infrastructure!$E$28,Infrastructure!$C$28)</f>
        <v>1300</v>
      </c>
      <c r="L31" s="6" t="n">
        <f aca="false">IF(Assumptions!$F$34=3,Infrastructure!$E$28,Infrastructure!$C$28)</f>
        <v>1300</v>
      </c>
      <c r="M31" s="6" t="n">
        <f aca="false">IF(Assumptions!$F$34=3,Infrastructure!$E$28,Infrastructure!$C$28)</f>
        <v>1300</v>
      </c>
      <c r="N31" s="6" t="n">
        <f aca="false">IF(Assumptions!$F$34=3,Infrastructure!$E$28,Infrastructure!$C$28)</f>
        <v>1300</v>
      </c>
      <c r="O31" s="6" t="n">
        <f aca="false">IF(Assumptions!$F$34=3,Infrastructure!$E$28,Infrastructure!$C$28)</f>
        <v>1300</v>
      </c>
      <c r="P31" s="6" t="n">
        <f aca="false">IF(Assumptions!$F$34=3,Infrastructure!$E$28,Infrastructure!$C$28)</f>
        <v>1300</v>
      </c>
      <c r="Q31" s="6" t="n">
        <f aca="false">IF(Assumptions!$F$34=3,Infrastructure!$E$28,Infrastructure!$C$28)</f>
        <v>1300</v>
      </c>
      <c r="R31" s="6" t="n">
        <f aca="false">IF(Assumptions!$F$34=3,Infrastructure!$E$28,Infrastructure!$C$28)</f>
        <v>1300</v>
      </c>
      <c r="S31" s="6" t="n">
        <f aca="false">IF(Assumptions!$F$34=3,Infrastructure!$E$28,Infrastructure!$C$28)</f>
        <v>1300</v>
      </c>
      <c r="T31" s="6" t="n">
        <f aca="false">IF(Assumptions!$F$34=3,Infrastructure!$E$28,Infrastructure!$C$28)</f>
        <v>1300</v>
      </c>
      <c r="U31" s="6" t="n">
        <f aca="false">IF(Assumptions!$F$34=3,Infrastructure!$E$28,Infrastructure!$C$28)</f>
        <v>1300</v>
      </c>
      <c r="V31" s="6" t="n">
        <f aca="false">IF(Assumptions!$F$34=3,Infrastructure!$E$28,Infrastructure!$C$28)</f>
        <v>1300</v>
      </c>
      <c r="W31" s="6" t="n">
        <f aca="false">IF(Assumptions!$F$34=3,Infrastructure!$E$28,Infrastructure!$C$28)</f>
        <v>1300</v>
      </c>
      <c r="X31" s="6" t="n">
        <f aca="false">IF(Assumptions!$F$34=3,Infrastructure!$E$28,Infrastructure!$C$28)</f>
        <v>1300</v>
      </c>
      <c r="Y31" s="6" t="n">
        <f aca="false">IF(Assumptions!$F$34=3,Infrastructure!$E$28,Infrastructure!$C$28)</f>
        <v>1300</v>
      </c>
      <c r="Z31" s="6" t="n">
        <f aca="false">IF(Assumptions!$F$34=3,Infrastructure!$E$28,Infrastructure!$C$28)</f>
        <v>1300</v>
      </c>
      <c r="AA31" s="6" t="n">
        <f aca="false">IF(Assumptions!$F$34=3,Infrastructure!$E$28,Infrastructure!$C$28)</f>
        <v>1300</v>
      </c>
      <c r="AB31" s="6" t="n">
        <f aca="false">IF(Assumptions!$F$34=3,Infrastructure!$E$28,Infrastructure!$C$28)</f>
        <v>1300</v>
      </c>
      <c r="AC31" s="6" t="n">
        <f aca="false">IF(Assumptions!$F$34=3,Infrastructure!$E$28,Infrastructure!$C$28)</f>
        <v>1300</v>
      </c>
      <c r="AD31" s="6" t="n">
        <f aca="false">IF(Assumptions!$F$34=3,Infrastructure!$E$28,Infrastructure!$C$28)</f>
        <v>1300</v>
      </c>
      <c r="AE31" s="6" t="n">
        <f aca="false">IF(Assumptions!$F$34=3,Infrastructure!$E$28,Infrastructure!$C$28)</f>
        <v>1300</v>
      </c>
      <c r="AF31" s="6" t="n">
        <f aca="false">IF(Assumptions!$F$34=3,Infrastructure!$E$28,Infrastructure!$C$28)</f>
        <v>1300</v>
      </c>
      <c r="AG31" s="6" t="n">
        <f aca="false">IF(Assumptions!$F$34=3,Infrastructure!$E$28,Infrastructure!$C$28)</f>
        <v>1300</v>
      </c>
      <c r="AH31" s="6" t="n">
        <f aca="false">IF(Assumptions!$F$34=3,Infrastructure!$E$28,Infrastructure!$C$28)</f>
        <v>1300</v>
      </c>
      <c r="AI31" s="6" t="n">
        <f aca="false">IF(Assumptions!$F$34=3,Infrastructure!$E$28,Infrastructure!$C$28)</f>
        <v>1300</v>
      </c>
      <c r="AJ31" s="6" t="n">
        <f aca="false">IF(Assumptions!$F$34=3,Infrastructure!$E$28,Infrastructure!$C$28)</f>
        <v>1300</v>
      </c>
      <c r="AK31" s="6" t="n">
        <f aca="false">IF(Assumptions!$F$34=3,Infrastructure!$E$28,Infrastructure!$C$28)</f>
        <v>1300</v>
      </c>
      <c r="AL31" s="6" t="n">
        <f aca="false">IF(Assumptions!$F$34=3,Infrastructure!$E$28,Infrastructure!$C$28)</f>
        <v>1300</v>
      </c>
    </row>
    <row r="32" customFormat="false" ht="15" hidden="false" customHeight="false" outlineLevel="0" collapsed="false">
      <c r="B32" s="2" t="s">
        <v>318</v>
      </c>
      <c r="C32" s="6" t="n">
        <f aca="false">Assumptions!$F$30</f>
        <v>2500</v>
      </c>
      <c r="D32" s="6" t="n">
        <f aca="false">Assumptions!$F$30</f>
        <v>2500</v>
      </c>
      <c r="E32" s="6" t="n">
        <f aca="false">Assumptions!$F$30</f>
        <v>2500</v>
      </c>
      <c r="F32" s="6" t="n">
        <f aca="false">Assumptions!$F$30</f>
        <v>2500</v>
      </c>
      <c r="G32" s="6" t="n">
        <f aca="false">Assumptions!$F$30</f>
        <v>2500</v>
      </c>
      <c r="H32" s="6" t="n">
        <f aca="false">Assumptions!$F$30</f>
        <v>2500</v>
      </c>
      <c r="I32" s="6" t="n">
        <f aca="false">Assumptions!$F$30</f>
        <v>2500</v>
      </c>
      <c r="J32" s="6" t="n">
        <f aca="false">Assumptions!$F$30</f>
        <v>2500</v>
      </c>
      <c r="K32" s="6" t="n">
        <f aca="false">Assumptions!$F$30</f>
        <v>2500</v>
      </c>
      <c r="L32" s="6" t="n">
        <f aca="false">Assumptions!$F$30</f>
        <v>2500</v>
      </c>
      <c r="M32" s="6" t="n">
        <f aca="false">Assumptions!$F$30</f>
        <v>2500</v>
      </c>
      <c r="N32" s="6" t="n">
        <f aca="false">Assumptions!$F$30</f>
        <v>2500</v>
      </c>
      <c r="O32" s="6" t="n">
        <f aca="false">Assumptions!$F$30</f>
        <v>2500</v>
      </c>
      <c r="P32" s="6" t="n">
        <f aca="false">Assumptions!$F$30</f>
        <v>2500</v>
      </c>
      <c r="Q32" s="6" t="n">
        <f aca="false">Assumptions!$F$30</f>
        <v>2500</v>
      </c>
      <c r="R32" s="6" t="n">
        <f aca="false">Assumptions!$F$30</f>
        <v>2500</v>
      </c>
      <c r="S32" s="6" t="n">
        <f aca="false">Assumptions!$F$30</f>
        <v>2500</v>
      </c>
      <c r="T32" s="6" t="n">
        <f aca="false">Assumptions!$F$30</f>
        <v>2500</v>
      </c>
      <c r="U32" s="6" t="n">
        <f aca="false">Assumptions!$F$30</f>
        <v>2500</v>
      </c>
      <c r="V32" s="6" t="n">
        <f aca="false">Assumptions!$F$30</f>
        <v>2500</v>
      </c>
      <c r="W32" s="6" t="n">
        <f aca="false">Assumptions!$F$30</f>
        <v>2500</v>
      </c>
      <c r="X32" s="6" t="n">
        <f aca="false">Assumptions!$F$30</f>
        <v>2500</v>
      </c>
      <c r="Y32" s="6" t="n">
        <f aca="false">Assumptions!$F$30</f>
        <v>2500</v>
      </c>
      <c r="Z32" s="6" t="n">
        <f aca="false">Assumptions!$F$30</f>
        <v>2500</v>
      </c>
      <c r="AA32" s="6" t="n">
        <f aca="false">Assumptions!$F$30</f>
        <v>2500</v>
      </c>
      <c r="AB32" s="6" t="n">
        <f aca="false">Assumptions!$F$30</f>
        <v>2500</v>
      </c>
      <c r="AC32" s="6" t="n">
        <f aca="false">Assumptions!$F$30</f>
        <v>2500</v>
      </c>
      <c r="AD32" s="6" t="n">
        <f aca="false">Assumptions!$F$30</f>
        <v>2500</v>
      </c>
      <c r="AE32" s="6" t="n">
        <f aca="false">Assumptions!$F$30</f>
        <v>2500</v>
      </c>
      <c r="AF32" s="6" t="n">
        <f aca="false">Assumptions!$F$30</f>
        <v>2500</v>
      </c>
      <c r="AG32" s="6" t="n">
        <f aca="false">Assumptions!$F$30</f>
        <v>2500</v>
      </c>
      <c r="AH32" s="6" t="n">
        <f aca="false">Assumptions!$F$30</f>
        <v>2500</v>
      </c>
      <c r="AI32" s="6" t="n">
        <f aca="false">Assumptions!$F$30</f>
        <v>2500</v>
      </c>
      <c r="AJ32" s="6" t="n">
        <f aca="false">Assumptions!$F$30</f>
        <v>2500</v>
      </c>
      <c r="AK32" s="6" t="n">
        <f aca="false">Assumptions!$F$30</f>
        <v>2500</v>
      </c>
      <c r="AL32" s="6" t="n">
        <f aca="false">Assumptions!$F$30</f>
        <v>2500</v>
      </c>
    </row>
    <row r="33" customFormat="false" ht="15" hidden="false" customHeight="false" outlineLevel="0" collapsed="false">
      <c r="B33" s="2" t="s">
        <v>319</v>
      </c>
      <c r="C33" s="6" t="n">
        <f aca="false">IF(Assumptions!$F$34=3,Assumptions!$F$42,Assumptions!$F$31)</f>
        <v>2000</v>
      </c>
      <c r="D33" s="6" t="n">
        <f aca="false">IF(Assumptions!$F$34=3,Assumptions!$F$42,Assumptions!$F$31)</f>
        <v>2000</v>
      </c>
      <c r="E33" s="6" t="n">
        <f aca="false">IF(Assumptions!$F$34=3,Assumptions!$F$42,Assumptions!$F$31)</f>
        <v>2000</v>
      </c>
      <c r="F33" s="6" t="n">
        <f aca="false">IF(Assumptions!$F$34=3,Assumptions!$F$42,Assumptions!$F$31)</f>
        <v>2000</v>
      </c>
      <c r="G33" s="6" t="n">
        <f aca="false">IF(Assumptions!$F$34=3,Assumptions!$F$42,Assumptions!$F$31)</f>
        <v>2000</v>
      </c>
      <c r="H33" s="6" t="n">
        <f aca="false">IF(Assumptions!$F$34=3,Assumptions!$F$42,Assumptions!$F$31)</f>
        <v>2000</v>
      </c>
      <c r="I33" s="6" t="n">
        <f aca="false">IF(Assumptions!$F$34=3,Assumptions!$F$42,Assumptions!$F$31)</f>
        <v>2000</v>
      </c>
      <c r="J33" s="6" t="n">
        <f aca="false">IF(Assumptions!$F$34=3,Assumptions!$F$42,Assumptions!$F$31)</f>
        <v>2000</v>
      </c>
      <c r="K33" s="6" t="n">
        <f aca="false">IF(Assumptions!$F$34=3,Assumptions!$F$42,Assumptions!$F$31)</f>
        <v>2000</v>
      </c>
      <c r="L33" s="6" t="n">
        <f aca="false">IF(Assumptions!$F$34=3,Assumptions!$F$42,Assumptions!$F$31)</f>
        <v>2000</v>
      </c>
      <c r="M33" s="6" t="n">
        <f aca="false">IF(Assumptions!$F$34=3,Assumptions!$F$42,Assumptions!$F$31)</f>
        <v>2000</v>
      </c>
      <c r="N33" s="6" t="n">
        <f aca="false">IF(Assumptions!$F$34=3,Assumptions!$F$42,Assumptions!$F$31)</f>
        <v>2000</v>
      </c>
      <c r="O33" s="6" t="n">
        <f aca="false">IF(Assumptions!$F$34=3,Assumptions!$F$42,Assumptions!$F$31)</f>
        <v>2000</v>
      </c>
      <c r="P33" s="6" t="n">
        <f aca="false">IF(Assumptions!$F$34=3,Assumptions!$F$42,Assumptions!$F$31)</f>
        <v>2000</v>
      </c>
      <c r="Q33" s="6" t="n">
        <f aca="false">IF(Assumptions!$F$34=3,Assumptions!$F$42,Assumptions!$F$31)</f>
        <v>2000</v>
      </c>
      <c r="R33" s="6" t="n">
        <f aca="false">IF(Assumptions!$F$34=3,Assumptions!$F$42,Assumptions!$F$31)</f>
        <v>2000</v>
      </c>
      <c r="S33" s="6" t="n">
        <f aca="false">IF(Assumptions!$F$34=3,Assumptions!$F$42,Assumptions!$F$31)</f>
        <v>2000</v>
      </c>
      <c r="T33" s="6" t="n">
        <f aca="false">IF(Assumptions!$F$34=3,Assumptions!$F$42,Assumptions!$F$31)</f>
        <v>2000</v>
      </c>
      <c r="U33" s="6" t="n">
        <f aca="false">IF(Assumptions!$F$34=3,Assumptions!$F$42,Assumptions!$F$31)</f>
        <v>2000</v>
      </c>
      <c r="V33" s="6" t="n">
        <f aca="false">IF(Assumptions!$F$34=3,Assumptions!$F$42,Assumptions!$F$31)</f>
        <v>2000</v>
      </c>
      <c r="W33" s="6" t="n">
        <f aca="false">IF(Assumptions!$F$34=3,Assumptions!$F$42,Assumptions!$F$31)</f>
        <v>2000</v>
      </c>
      <c r="X33" s="6" t="n">
        <f aca="false">IF(Assumptions!$F$34=3,Assumptions!$F$42,Assumptions!$F$31)</f>
        <v>2000</v>
      </c>
      <c r="Y33" s="6" t="n">
        <f aca="false">IF(Assumptions!$F$34=3,Assumptions!$F$42,Assumptions!$F$31)</f>
        <v>2000</v>
      </c>
      <c r="Z33" s="6" t="n">
        <f aca="false">IF(Assumptions!$F$34=3,Assumptions!$F$42,Assumptions!$F$31)</f>
        <v>2000</v>
      </c>
      <c r="AA33" s="6" t="n">
        <f aca="false">IF(Assumptions!$F$34=3,Assumptions!$F$42,Assumptions!$F$31)</f>
        <v>2000</v>
      </c>
      <c r="AB33" s="6" t="n">
        <f aca="false">IF(Assumptions!$F$34=3,Assumptions!$F$42,Assumptions!$F$31)</f>
        <v>2000</v>
      </c>
      <c r="AC33" s="6" t="n">
        <f aca="false">IF(Assumptions!$F$34=3,Assumptions!$F$42,Assumptions!$F$31)</f>
        <v>2000</v>
      </c>
      <c r="AD33" s="6" t="n">
        <f aca="false">IF(Assumptions!$F$34=3,Assumptions!$F$42,Assumptions!$F$31)</f>
        <v>2000</v>
      </c>
      <c r="AE33" s="6" t="n">
        <f aca="false">IF(Assumptions!$F$34=3,Assumptions!$F$42,Assumptions!$F$31)</f>
        <v>2000</v>
      </c>
      <c r="AF33" s="6" t="n">
        <f aca="false">IF(Assumptions!$F$34=3,Assumptions!$F$42,Assumptions!$F$31)</f>
        <v>2000</v>
      </c>
      <c r="AG33" s="6" t="n">
        <f aca="false">IF(Assumptions!$F$34=3,Assumptions!$F$42,Assumptions!$F$31)</f>
        <v>2000</v>
      </c>
      <c r="AH33" s="6" t="n">
        <f aca="false">IF(Assumptions!$F$34=3,Assumptions!$F$42,Assumptions!$F$31)</f>
        <v>2000</v>
      </c>
      <c r="AI33" s="6" t="n">
        <f aca="false">IF(Assumptions!$F$34=3,Assumptions!$F$42,Assumptions!$F$31)</f>
        <v>2000</v>
      </c>
      <c r="AJ33" s="6" t="n">
        <f aca="false">IF(Assumptions!$F$34=3,Assumptions!$F$42,Assumptions!$F$31)</f>
        <v>2000</v>
      </c>
      <c r="AK33" s="6" t="n">
        <f aca="false">IF(Assumptions!$F$34=3,Assumptions!$F$42,Assumptions!$F$31)</f>
        <v>2000</v>
      </c>
      <c r="AL33" s="6" t="n">
        <f aca="false">IF(Assumptions!$F$34=3,Assumptions!$F$42,Assumptions!$F$31)</f>
        <v>2000</v>
      </c>
    </row>
    <row r="34" customFormat="false" ht="15" hidden="false" customHeight="false" outlineLevel="0" collapsed="false">
      <c r="B34" s="2" t="s">
        <v>320</v>
      </c>
      <c r="C34" s="6" t="n">
        <f aca="false">IF(C4&gt;=Assumptions!$F$33,IF(Assumptions!$F$34=3,Assumptions!$F$44,Assumptions!$F$32),0)</f>
        <v>0</v>
      </c>
      <c r="D34" s="6" t="n">
        <f aca="false">IF(D4&gt;=Assumptions!$F$33,IF(Assumptions!$F$34=3,Assumptions!$F$44,Assumptions!$F$32),0)</f>
        <v>0</v>
      </c>
      <c r="E34" s="6" t="n">
        <f aca="false">IF(E4&gt;=Assumptions!$F$33,IF(Assumptions!$F$34=3,Assumptions!$F$44,Assumptions!$F$32),0)</f>
        <v>0</v>
      </c>
      <c r="F34" s="6" t="n">
        <f aca="false">IF(F4&gt;=Assumptions!$F$33,IF(Assumptions!$F$34=3,Assumptions!$F$44,Assumptions!$F$32),0)</f>
        <v>0</v>
      </c>
      <c r="G34" s="6" t="n">
        <f aca="false">IF(G4&gt;=Assumptions!$F$33,IF(Assumptions!$F$34=3,Assumptions!$F$44,Assumptions!$F$32),0)</f>
        <v>0</v>
      </c>
      <c r="H34" s="6" t="n">
        <f aca="false">IF(H4&gt;=Assumptions!$F$33,IF(Assumptions!$F$34=3,Assumptions!$F$44,Assumptions!$F$32),0)</f>
        <v>0</v>
      </c>
      <c r="I34" s="6" t="n">
        <f aca="false">IF(I4&gt;=Assumptions!$F$33,IF(Assumptions!$F$34=3,Assumptions!$F$44,Assumptions!$F$32),0)</f>
        <v>0</v>
      </c>
      <c r="J34" s="6" t="n">
        <f aca="false">IF(J4&gt;=Assumptions!$F$33,IF(Assumptions!$F$34=3,Assumptions!$F$44,Assumptions!$F$32),0)</f>
        <v>0</v>
      </c>
      <c r="K34" s="6" t="n">
        <f aca="false">IF(K4&gt;=Assumptions!$F$33,IF(Assumptions!$F$34=3,Assumptions!$F$44,Assumptions!$F$32),0)</f>
        <v>0</v>
      </c>
      <c r="L34" s="6" t="n">
        <f aca="false">IF(L4&gt;=Assumptions!$F$33,IF(Assumptions!$F$34=3,Assumptions!$F$44,Assumptions!$F$32),0)</f>
        <v>0</v>
      </c>
      <c r="M34" s="6" t="n">
        <f aca="false">IF(M4&gt;=Assumptions!$F$33,IF(Assumptions!$F$34=3,Assumptions!$F$44,Assumptions!$F$32),0)</f>
        <v>0</v>
      </c>
      <c r="N34" s="6" t="n">
        <f aca="false">IF(N4&gt;=Assumptions!$F$33,IF(Assumptions!$F$34=3,Assumptions!$F$44,Assumptions!$F$32),0)</f>
        <v>0</v>
      </c>
      <c r="O34" s="6" t="n">
        <f aca="false">IF(O4&gt;=Assumptions!$F$33,IF(Assumptions!$F$34=3,Assumptions!$F$44,Assumptions!$F$32),0)</f>
        <v>3500</v>
      </c>
      <c r="P34" s="6" t="n">
        <f aca="false">IF(P4&gt;=Assumptions!$F$33,IF(Assumptions!$F$34=3,Assumptions!$F$44,Assumptions!$F$32),0)</f>
        <v>3500</v>
      </c>
      <c r="Q34" s="6" t="n">
        <f aca="false">IF(Q4&gt;=Assumptions!$F$33,IF(Assumptions!$F$34=3,Assumptions!$F$44,Assumptions!$F$32),0)</f>
        <v>3500</v>
      </c>
      <c r="R34" s="6" t="n">
        <f aca="false">IF(R4&gt;=Assumptions!$F$33,IF(Assumptions!$F$34=3,Assumptions!$F$44,Assumptions!$F$32),0)</f>
        <v>3500</v>
      </c>
      <c r="S34" s="6" t="n">
        <f aca="false">IF(S4&gt;=Assumptions!$F$33,IF(Assumptions!$F$34=3,Assumptions!$F$44,Assumptions!$F$32),0)</f>
        <v>3500</v>
      </c>
      <c r="T34" s="6" t="n">
        <f aca="false">IF(T4&gt;=Assumptions!$F$33,IF(Assumptions!$F$34=3,Assumptions!$F$44,Assumptions!$F$32),0)</f>
        <v>3500</v>
      </c>
      <c r="U34" s="6" t="n">
        <f aca="false">IF(U4&gt;=Assumptions!$F$33,IF(Assumptions!$F$34=3,Assumptions!$F$44,Assumptions!$F$32),0)</f>
        <v>3500</v>
      </c>
      <c r="V34" s="6" t="n">
        <f aca="false">IF(V4&gt;=Assumptions!$F$33,IF(Assumptions!$F$34=3,Assumptions!$F$44,Assumptions!$F$32),0)</f>
        <v>3500</v>
      </c>
      <c r="W34" s="6" t="n">
        <f aca="false">IF(W4&gt;=Assumptions!$F$33,IF(Assumptions!$F$34=3,Assumptions!$F$44,Assumptions!$F$32),0)</f>
        <v>3500</v>
      </c>
      <c r="X34" s="6" t="n">
        <f aca="false">IF(X4&gt;=Assumptions!$F$33,IF(Assumptions!$F$34=3,Assumptions!$F$44,Assumptions!$F$32),0)</f>
        <v>3500</v>
      </c>
      <c r="Y34" s="6" t="n">
        <f aca="false">IF(Y4&gt;=Assumptions!$F$33,IF(Assumptions!$F$34=3,Assumptions!$F$44,Assumptions!$F$32),0)</f>
        <v>3500</v>
      </c>
      <c r="Z34" s="6" t="n">
        <f aca="false">IF(Z4&gt;=Assumptions!$F$33,IF(Assumptions!$F$34=3,Assumptions!$F$44,Assumptions!$F$32),0)</f>
        <v>3500</v>
      </c>
      <c r="AA34" s="6" t="n">
        <f aca="false">IF(AA4&gt;=Assumptions!$F$33,IF(Assumptions!$F$34=3,Assumptions!$F$44,Assumptions!$F$32),0)</f>
        <v>3500</v>
      </c>
      <c r="AB34" s="6" t="n">
        <f aca="false">IF(AB4&gt;=Assumptions!$F$33,IF(Assumptions!$F$34=3,Assumptions!$F$44,Assumptions!$F$32),0)</f>
        <v>3500</v>
      </c>
      <c r="AC34" s="6" t="n">
        <f aca="false">IF(AC4&gt;=Assumptions!$F$33,IF(Assumptions!$F$34=3,Assumptions!$F$44,Assumptions!$F$32),0)</f>
        <v>3500</v>
      </c>
      <c r="AD34" s="6" t="n">
        <f aca="false">IF(AD4&gt;=Assumptions!$F$33,IF(Assumptions!$F$34=3,Assumptions!$F$44,Assumptions!$F$32),0)</f>
        <v>3500</v>
      </c>
      <c r="AE34" s="6" t="n">
        <f aca="false">IF(AE4&gt;=Assumptions!$F$33,IF(Assumptions!$F$34=3,Assumptions!$F$44,Assumptions!$F$32),0)</f>
        <v>3500</v>
      </c>
      <c r="AF34" s="6" t="n">
        <f aca="false">IF(AF4&gt;=Assumptions!$F$33,IF(Assumptions!$F$34=3,Assumptions!$F$44,Assumptions!$F$32),0)</f>
        <v>3500</v>
      </c>
      <c r="AG34" s="6" t="n">
        <f aca="false">IF(AG4&gt;=Assumptions!$F$33,IF(Assumptions!$F$34=3,Assumptions!$F$44,Assumptions!$F$32),0)</f>
        <v>3500</v>
      </c>
      <c r="AH34" s="6" t="n">
        <f aca="false">IF(AH4&gt;=Assumptions!$F$33,IF(Assumptions!$F$34=3,Assumptions!$F$44,Assumptions!$F$32),0)</f>
        <v>3500</v>
      </c>
      <c r="AI34" s="6" t="n">
        <f aca="false">IF(AI4&gt;=Assumptions!$F$33,IF(Assumptions!$F$34=3,Assumptions!$F$44,Assumptions!$F$32),0)</f>
        <v>3500</v>
      </c>
      <c r="AJ34" s="6" t="n">
        <f aca="false">IF(AJ4&gt;=Assumptions!$F$33,IF(Assumptions!$F$34=3,Assumptions!$F$44,Assumptions!$F$32),0)</f>
        <v>3500</v>
      </c>
      <c r="AK34" s="6" t="n">
        <f aca="false">IF(AK4&gt;=Assumptions!$F$33,IF(Assumptions!$F$34=3,Assumptions!$F$44,Assumptions!$F$32),0)</f>
        <v>3500</v>
      </c>
      <c r="AL34" s="6" t="n">
        <f aca="false">IF(AL4&gt;=Assumptions!$F$33,IF(Assumptions!$F$34=3,Assumptions!$F$44,Assumptions!$F$32),0)</f>
        <v>3500</v>
      </c>
    </row>
    <row r="35" customFormat="false" ht="15" hidden="false" customHeight="false" outlineLevel="0" collapsed="false">
      <c r="B35" s="2" t="s">
        <v>321</v>
      </c>
      <c r="C35" s="6" t="n">
        <f aca="false">IF(Assumptions!$F$34=3,Assumptions!$F$43,Assumptions!$F$35)</f>
        <v>1000</v>
      </c>
      <c r="D35" s="6" t="n">
        <f aca="false">IF(Assumptions!$F$34=3,Assumptions!$F$43,Assumptions!$F$35)</f>
        <v>1000</v>
      </c>
      <c r="E35" s="6" t="n">
        <f aca="false">IF(Assumptions!$F$34=3,Assumptions!$F$43,Assumptions!$F$35)</f>
        <v>1000</v>
      </c>
      <c r="F35" s="6" t="n">
        <f aca="false">IF(Assumptions!$F$34=3,Assumptions!$F$43,Assumptions!$F$35)</f>
        <v>1000</v>
      </c>
      <c r="G35" s="6" t="n">
        <f aca="false">IF(Assumptions!$F$34=3,Assumptions!$F$43,Assumptions!$F$35)</f>
        <v>1000</v>
      </c>
      <c r="H35" s="6" t="n">
        <f aca="false">IF(Assumptions!$F$34=3,Assumptions!$F$43,Assumptions!$F$35)</f>
        <v>1000</v>
      </c>
      <c r="I35" s="6" t="n">
        <f aca="false">IF(Assumptions!$F$34=3,Assumptions!$F$43,Assumptions!$F$35)</f>
        <v>1000</v>
      </c>
      <c r="J35" s="6" t="n">
        <f aca="false">IF(Assumptions!$F$34=3,Assumptions!$F$43,Assumptions!$F$35)</f>
        <v>1000</v>
      </c>
      <c r="K35" s="6" t="n">
        <f aca="false">IF(Assumptions!$F$34=3,Assumptions!$F$43,Assumptions!$F$35)</f>
        <v>1000</v>
      </c>
      <c r="L35" s="6" t="n">
        <f aca="false">IF(Assumptions!$F$34=3,Assumptions!$F$43,Assumptions!$F$35)</f>
        <v>1000</v>
      </c>
      <c r="M35" s="6" t="n">
        <f aca="false">IF(Assumptions!$F$34=3,Assumptions!$F$43,Assumptions!$F$35)</f>
        <v>1000</v>
      </c>
      <c r="N35" s="6" t="n">
        <f aca="false">IF(Assumptions!$F$34=3,Assumptions!$F$43,Assumptions!$F$35)</f>
        <v>1000</v>
      </c>
      <c r="O35" s="6" t="n">
        <f aca="false">IF(Assumptions!$F$34=3,Assumptions!$F$43,Assumptions!$F$35)</f>
        <v>1000</v>
      </c>
      <c r="P35" s="6" t="n">
        <f aca="false">IF(Assumptions!$F$34=3,Assumptions!$F$43,Assumptions!$F$35)</f>
        <v>1000</v>
      </c>
      <c r="Q35" s="6" t="n">
        <f aca="false">IF(Assumptions!$F$34=3,Assumptions!$F$43,Assumptions!$F$35)</f>
        <v>1000</v>
      </c>
      <c r="R35" s="6" t="n">
        <f aca="false">IF(Assumptions!$F$34=3,Assumptions!$F$43,Assumptions!$F$35)</f>
        <v>1000</v>
      </c>
      <c r="S35" s="6" t="n">
        <f aca="false">IF(Assumptions!$F$34=3,Assumptions!$F$43,Assumptions!$F$35)</f>
        <v>1000</v>
      </c>
      <c r="T35" s="6" t="n">
        <f aca="false">IF(Assumptions!$F$34=3,Assumptions!$F$43,Assumptions!$F$35)</f>
        <v>1000</v>
      </c>
      <c r="U35" s="6" t="n">
        <f aca="false">IF(Assumptions!$F$34=3,Assumptions!$F$43,Assumptions!$F$35)</f>
        <v>1000</v>
      </c>
      <c r="V35" s="6" t="n">
        <f aca="false">IF(Assumptions!$F$34=3,Assumptions!$F$43,Assumptions!$F$35)</f>
        <v>1000</v>
      </c>
      <c r="W35" s="6" t="n">
        <f aca="false">IF(Assumptions!$F$34=3,Assumptions!$F$43,Assumptions!$F$35)</f>
        <v>1000</v>
      </c>
      <c r="X35" s="6" t="n">
        <f aca="false">IF(Assumptions!$F$34=3,Assumptions!$F$43,Assumptions!$F$35)</f>
        <v>1000</v>
      </c>
      <c r="Y35" s="6" t="n">
        <f aca="false">IF(Assumptions!$F$34=3,Assumptions!$F$43,Assumptions!$F$35)</f>
        <v>1000</v>
      </c>
      <c r="Z35" s="6" t="n">
        <f aca="false">IF(Assumptions!$F$34=3,Assumptions!$F$43,Assumptions!$F$35)</f>
        <v>1000</v>
      </c>
      <c r="AA35" s="6" t="n">
        <f aca="false">IF(Assumptions!$F$34=3,Assumptions!$F$43,Assumptions!$F$35)</f>
        <v>1000</v>
      </c>
      <c r="AB35" s="6" t="n">
        <f aca="false">IF(Assumptions!$F$34=3,Assumptions!$F$43,Assumptions!$F$35)</f>
        <v>1000</v>
      </c>
      <c r="AC35" s="6" t="n">
        <f aca="false">IF(Assumptions!$F$34=3,Assumptions!$F$43,Assumptions!$F$35)</f>
        <v>1000</v>
      </c>
      <c r="AD35" s="6" t="n">
        <f aca="false">IF(Assumptions!$F$34=3,Assumptions!$F$43,Assumptions!$F$35)</f>
        <v>1000</v>
      </c>
      <c r="AE35" s="6" t="n">
        <f aca="false">IF(Assumptions!$F$34=3,Assumptions!$F$43,Assumptions!$F$35)</f>
        <v>1000</v>
      </c>
      <c r="AF35" s="6" t="n">
        <f aca="false">IF(Assumptions!$F$34=3,Assumptions!$F$43,Assumptions!$F$35)</f>
        <v>1000</v>
      </c>
      <c r="AG35" s="6" t="n">
        <f aca="false">IF(Assumptions!$F$34=3,Assumptions!$F$43,Assumptions!$F$35)</f>
        <v>1000</v>
      </c>
      <c r="AH35" s="6" t="n">
        <f aca="false">IF(Assumptions!$F$34=3,Assumptions!$F$43,Assumptions!$F$35)</f>
        <v>1000</v>
      </c>
      <c r="AI35" s="6" t="n">
        <f aca="false">IF(Assumptions!$F$34=3,Assumptions!$F$43,Assumptions!$F$35)</f>
        <v>1000</v>
      </c>
      <c r="AJ35" s="6" t="n">
        <f aca="false">IF(Assumptions!$F$34=3,Assumptions!$F$43,Assumptions!$F$35)</f>
        <v>1000</v>
      </c>
      <c r="AK35" s="6" t="n">
        <f aca="false">IF(Assumptions!$F$34=3,Assumptions!$F$43,Assumptions!$F$35)</f>
        <v>1000</v>
      </c>
      <c r="AL35" s="6" t="n">
        <f aca="false">IF(Assumptions!$F$34=3,Assumptions!$F$43,Assumptions!$F$35)</f>
        <v>1000</v>
      </c>
    </row>
    <row r="36" customFormat="false" ht="15" hidden="false" customHeight="false" outlineLevel="0" collapsed="false">
      <c r="B36" s="2" t="s">
        <v>273</v>
      </c>
      <c r="C36" s="6" t="n">
        <f aca="false">IF(Assumptions!$F$34=3,SUMIF(Setup!$D$5:$D$17,C4,Setup!$E$5:$E$17),SUMIF(Setup!$D$5:$D$17,C4,Setup!$C$5:$C$17))</f>
        <v>47125</v>
      </c>
      <c r="D36" s="6" t="n">
        <f aca="false">IF(Assumptions!$F$34=3,SUMIF(Setup!$D$5:$D$17,D4,Setup!$E$5:$E$17),SUMIF(Setup!$D$5:$D$17,D4,Setup!$C$5:$C$17))</f>
        <v>15500</v>
      </c>
      <c r="E36" s="6" t="n">
        <f aca="false">IF(Assumptions!$F$34=3,SUMIF(Setup!$D$5:$D$17,E4,Setup!$E$5:$E$17),SUMIF(Setup!$D$5:$D$17,E4,Setup!$C$5:$C$17))</f>
        <v>5000</v>
      </c>
      <c r="F36" s="6" t="n">
        <f aca="false">IF(Assumptions!$F$34=3,SUMIF(Setup!$D$5:$D$17,F4,Setup!$E$5:$E$17),SUMIF(Setup!$D$5:$D$17,F4,Setup!$C$5:$C$17))</f>
        <v>5000</v>
      </c>
      <c r="G36" s="6" t="n">
        <f aca="false">IF(Assumptions!$F$34=3,SUMIF(Setup!$D$5:$D$17,G4,Setup!$E$5:$E$17),SUMIF(Setup!$D$5:$D$17,G4,Setup!$C$5:$C$17))</f>
        <v>0</v>
      </c>
      <c r="H36" s="6" t="n">
        <f aca="false">IF(Assumptions!$F$34=3,SUMIF(Setup!$D$5:$D$17,H4,Setup!$E$5:$E$17),SUMIF(Setup!$D$5:$D$17,H4,Setup!$C$5:$C$17))</f>
        <v>28000</v>
      </c>
      <c r="I36" s="6" t="n">
        <f aca="false">IF(Assumptions!$F$34=3,SUMIF(Setup!$D$5:$D$17,I4,Setup!$E$5:$E$17),SUMIF(Setup!$D$5:$D$17,I4,Setup!$C$5:$C$17))</f>
        <v>0</v>
      </c>
      <c r="J36" s="6" t="n">
        <f aca="false">IF(Assumptions!$F$34=3,SUMIF(Setup!$D$5:$D$17,J4,Setup!$E$5:$E$17),SUMIF(Setup!$D$5:$D$17,J4,Setup!$C$5:$C$17))</f>
        <v>0</v>
      </c>
      <c r="K36" s="6" t="n">
        <f aca="false">IF(Assumptions!$F$34=3,SUMIF(Setup!$D$5:$D$17,K4,Setup!$E$5:$E$17),SUMIF(Setup!$D$5:$D$17,K4,Setup!$C$5:$C$17))</f>
        <v>0</v>
      </c>
      <c r="L36" s="6" t="n">
        <f aca="false">IF(Assumptions!$F$34=3,SUMIF(Setup!$D$5:$D$17,L4,Setup!$E$5:$E$17),SUMIF(Setup!$D$5:$D$17,L4,Setup!$C$5:$C$17))</f>
        <v>0</v>
      </c>
      <c r="M36" s="6" t="n">
        <f aca="false">IF(Assumptions!$F$34=3,SUMIF(Setup!$D$5:$D$17,M4,Setup!$E$5:$E$17),SUMIF(Setup!$D$5:$D$17,M4,Setup!$C$5:$C$17))</f>
        <v>0</v>
      </c>
      <c r="N36" s="6" t="n">
        <f aca="false">IF(Assumptions!$F$34=3,SUMIF(Setup!$D$5:$D$17,N4,Setup!$E$5:$E$17),SUMIF(Setup!$D$5:$D$17,N4,Setup!$C$5:$C$17))</f>
        <v>0</v>
      </c>
      <c r="O36" s="6" t="n">
        <f aca="false">IF(Assumptions!$F$34=3,SUMIF(Setup!$D$5:$D$17,O4,Setup!$E$5:$E$17),SUMIF(Setup!$D$5:$D$17,O4,Setup!$C$5:$C$17))</f>
        <v>0</v>
      </c>
      <c r="P36" s="6" t="n">
        <f aca="false">IF(Assumptions!$F$34=3,SUMIF(Setup!$D$5:$D$17,P4,Setup!$E$5:$E$17),SUMIF(Setup!$D$5:$D$17,P4,Setup!$C$5:$C$17))</f>
        <v>0</v>
      </c>
      <c r="Q36" s="6" t="n">
        <f aca="false">IF(Assumptions!$F$34=3,SUMIF(Setup!$D$5:$D$17,Q4,Setup!$E$5:$E$17),SUMIF(Setup!$D$5:$D$17,Q4,Setup!$C$5:$C$17))</f>
        <v>0</v>
      </c>
      <c r="R36" s="6" t="n">
        <f aca="false">IF(Assumptions!$F$34=3,SUMIF(Setup!$D$5:$D$17,R4,Setup!$E$5:$E$17),SUMIF(Setup!$D$5:$D$17,R4,Setup!$C$5:$C$17))</f>
        <v>0</v>
      </c>
      <c r="S36" s="6" t="n">
        <f aca="false">IF(Assumptions!$F$34=3,SUMIF(Setup!$D$5:$D$17,S4,Setup!$E$5:$E$17),SUMIF(Setup!$D$5:$D$17,S4,Setup!$C$5:$C$17))</f>
        <v>0</v>
      </c>
      <c r="T36" s="6" t="n">
        <f aca="false">IF(Assumptions!$F$34=3,SUMIF(Setup!$D$5:$D$17,T4,Setup!$E$5:$E$17),SUMIF(Setup!$D$5:$D$17,T4,Setup!$C$5:$C$17))</f>
        <v>0</v>
      </c>
      <c r="U36" s="6" t="n">
        <f aca="false">IF(Assumptions!$F$34=3,SUMIF(Setup!$D$5:$D$17,U4,Setup!$E$5:$E$17),SUMIF(Setup!$D$5:$D$17,U4,Setup!$C$5:$C$17))</f>
        <v>0</v>
      </c>
      <c r="V36" s="6" t="n">
        <f aca="false">IF(Assumptions!$F$34=3,SUMIF(Setup!$D$5:$D$17,V4,Setup!$E$5:$E$17),SUMIF(Setup!$D$5:$D$17,V4,Setup!$C$5:$C$17))</f>
        <v>0</v>
      </c>
      <c r="W36" s="6" t="n">
        <f aca="false">IF(Assumptions!$F$34=3,SUMIF(Setup!$D$5:$D$17,W4,Setup!$E$5:$E$17),SUMIF(Setup!$D$5:$D$17,W4,Setup!$C$5:$C$17))</f>
        <v>0</v>
      </c>
      <c r="X36" s="6" t="n">
        <f aca="false">IF(Assumptions!$F$34=3,SUMIF(Setup!$D$5:$D$17,X4,Setup!$E$5:$E$17),SUMIF(Setup!$D$5:$D$17,X4,Setup!$C$5:$C$17))</f>
        <v>0</v>
      </c>
      <c r="Y36" s="6" t="n">
        <f aca="false">IF(Assumptions!$F$34=3,SUMIF(Setup!$D$5:$D$17,Y4,Setup!$E$5:$E$17),SUMIF(Setup!$D$5:$D$17,Y4,Setup!$C$5:$C$17))</f>
        <v>0</v>
      </c>
      <c r="Z36" s="6" t="n">
        <f aca="false">IF(Assumptions!$F$34=3,SUMIF(Setup!$D$5:$D$17,Z4,Setup!$E$5:$E$17),SUMIF(Setup!$D$5:$D$17,Z4,Setup!$C$5:$C$17))</f>
        <v>0</v>
      </c>
      <c r="AA36" s="6" t="n">
        <f aca="false">IF(Assumptions!$F$34=3,SUMIF(Setup!$D$5:$D$17,AA4,Setup!$E$5:$E$17),SUMIF(Setup!$D$5:$D$17,AA4,Setup!$C$5:$C$17))</f>
        <v>0</v>
      </c>
      <c r="AB36" s="6" t="n">
        <f aca="false">IF(Assumptions!$F$34=3,SUMIF(Setup!$D$5:$D$17,AB4,Setup!$E$5:$E$17),SUMIF(Setup!$D$5:$D$17,AB4,Setup!$C$5:$C$17))</f>
        <v>0</v>
      </c>
      <c r="AC36" s="6" t="n">
        <f aca="false">IF(Assumptions!$F$34=3,SUMIF(Setup!$D$5:$D$17,AC4,Setup!$E$5:$E$17),SUMIF(Setup!$D$5:$D$17,AC4,Setup!$C$5:$C$17))</f>
        <v>0</v>
      </c>
      <c r="AD36" s="6" t="n">
        <f aca="false">IF(Assumptions!$F$34=3,SUMIF(Setup!$D$5:$D$17,AD4,Setup!$E$5:$E$17),SUMIF(Setup!$D$5:$D$17,AD4,Setup!$C$5:$C$17))</f>
        <v>0</v>
      </c>
      <c r="AE36" s="6" t="n">
        <f aca="false">IF(Assumptions!$F$34=3,SUMIF(Setup!$D$5:$D$17,AE4,Setup!$E$5:$E$17),SUMIF(Setup!$D$5:$D$17,AE4,Setup!$C$5:$C$17))</f>
        <v>0</v>
      </c>
      <c r="AF36" s="6" t="n">
        <f aca="false">IF(Assumptions!$F$34=3,SUMIF(Setup!$D$5:$D$17,AF4,Setup!$E$5:$E$17),SUMIF(Setup!$D$5:$D$17,AF4,Setup!$C$5:$C$17))</f>
        <v>0</v>
      </c>
      <c r="AG36" s="6" t="n">
        <f aca="false">IF(Assumptions!$F$34=3,SUMIF(Setup!$D$5:$D$17,AG4,Setup!$E$5:$E$17),SUMIF(Setup!$D$5:$D$17,AG4,Setup!$C$5:$C$17))</f>
        <v>0</v>
      </c>
      <c r="AH36" s="6" t="n">
        <f aca="false">IF(Assumptions!$F$34=3,SUMIF(Setup!$D$5:$D$17,AH4,Setup!$E$5:$E$17),SUMIF(Setup!$D$5:$D$17,AH4,Setup!$C$5:$C$17))</f>
        <v>0</v>
      </c>
      <c r="AI36" s="6" t="n">
        <f aca="false">IF(Assumptions!$F$34=3,SUMIF(Setup!$D$5:$D$17,AI4,Setup!$E$5:$E$17),SUMIF(Setup!$D$5:$D$17,AI4,Setup!$C$5:$C$17))</f>
        <v>0</v>
      </c>
      <c r="AJ36" s="6" t="n">
        <f aca="false">IF(Assumptions!$F$34=3,SUMIF(Setup!$D$5:$D$17,AJ4,Setup!$E$5:$E$17),SUMIF(Setup!$D$5:$D$17,AJ4,Setup!$C$5:$C$17))</f>
        <v>0</v>
      </c>
      <c r="AK36" s="6" t="n">
        <f aca="false">IF(Assumptions!$F$34=3,SUMIF(Setup!$D$5:$D$17,AK4,Setup!$E$5:$E$17),SUMIF(Setup!$D$5:$D$17,AK4,Setup!$C$5:$C$17))</f>
        <v>0</v>
      </c>
      <c r="AL36" s="6" t="n">
        <f aca="false">IF(Assumptions!$F$34=3,SUMIF(Setup!$D$5:$D$17,AL4,Setup!$E$5:$E$17),SUMIF(Setup!$D$5:$D$17,AL4,Setup!$C$5:$C$17))</f>
        <v>0</v>
      </c>
    </row>
    <row r="37" customFormat="false" ht="15" hidden="false" customHeight="false" outlineLevel="0" collapsed="false">
      <c r="B37" s="14" t="s">
        <v>322</v>
      </c>
      <c r="C37" s="29" t="n">
        <f aca="false">SUM(C29:C36)</f>
        <v>78925</v>
      </c>
      <c r="D37" s="29" t="n">
        <f aca="false">SUM(D29:D36)</f>
        <v>47300</v>
      </c>
      <c r="E37" s="29" t="n">
        <f aca="false">SUM(E29:E36)</f>
        <v>39800</v>
      </c>
      <c r="F37" s="29" t="n">
        <f aca="false">SUM(F29:F36)</f>
        <v>39800</v>
      </c>
      <c r="G37" s="29" t="n">
        <f aca="false">SUM(G29:G36)</f>
        <v>34800</v>
      </c>
      <c r="H37" s="29" t="n">
        <f aca="false">SUM(H29:H36)</f>
        <v>62800</v>
      </c>
      <c r="I37" s="29" t="n">
        <f aca="false">SUM(I29:I36)</f>
        <v>36300</v>
      </c>
      <c r="J37" s="29" t="n">
        <f aca="false">SUM(J29:J36)</f>
        <v>36300</v>
      </c>
      <c r="K37" s="29" t="n">
        <f aca="false">SUM(K29:K36)</f>
        <v>41300</v>
      </c>
      <c r="L37" s="29" t="n">
        <f aca="false">SUM(L29:L36)</f>
        <v>41450</v>
      </c>
      <c r="M37" s="29" t="n">
        <f aca="false">SUM(M29:M36)</f>
        <v>41604.5</v>
      </c>
      <c r="N37" s="29" t="n">
        <f aca="false">SUM(N29:N36)</f>
        <v>41763.635</v>
      </c>
      <c r="O37" s="29" t="n">
        <f aca="false">SUM(O29:O36)</f>
        <v>45427.54405</v>
      </c>
      <c r="P37" s="29" t="n">
        <f aca="false">SUM(P29:P36)</f>
        <v>45596.3703715</v>
      </c>
      <c r="Q37" s="29" t="n">
        <f aca="false">SUM(Q29:Q36)</f>
        <v>45770.261482645</v>
      </c>
      <c r="R37" s="29" t="n">
        <f aca="false">SUM(R29:R36)</f>
        <v>45949.3693271244</v>
      </c>
      <c r="S37" s="29" t="n">
        <f aca="false">SUM(S29:S36)</f>
        <v>46133.8504069381</v>
      </c>
      <c r="T37" s="29" t="n">
        <f aca="false">SUM(T29:T36)</f>
        <v>46323.8659191462</v>
      </c>
      <c r="U37" s="29" t="n">
        <f aca="false">SUM(U29:U36)</f>
        <v>64519.5818967206</v>
      </c>
      <c r="V37" s="29" t="n">
        <f aca="false">SUM(V29:V36)</f>
        <v>64721.1693536222</v>
      </c>
      <c r="W37" s="29" t="n">
        <f aca="false">SUM(W29:W36)</f>
        <v>64928.8044342309</v>
      </c>
      <c r="X37" s="29" t="n">
        <f aca="false">SUM(X29:X36)</f>
        <v>65142.6685672578</v>
      </c>
      <c r="Y37" s="29" t="n">
        <f aca="false">SUM(Y29:Y36)</f>
        <v>65362.9486242756</v>
      </c>
      <c r="Z37" s="29" t="n">
        <f aca="false">SUM(Z29:Z36)</f>
        <v>65589.8370830038</v>
      </c>
      <c r="AA37" s="29" t="n">
        <f aca="false">SUM(AA29:AA36)</f>
        <v>78323.5321954939</v>
      </c>
      <c r="AB37" s="29" t="n">
        <f aca="false">SUM(AB29:AB36)</f>
        <v>78564.2381613588</v>
      </c>
      <c r="AC37" s="29" t="n">
        <f aca="false">SUM(AC29:AC36)</f>
        <v>78812.1653061995</v>
      </c>
      <c r="AD37" s="29" t="n">
        <f aca="false">SUM(AD29:AD36)</f>
        <v>79067.5302653855</v>
      </c>
      <c r="AE37" s="29" t="n">
        <f aca="false">SUM(AE29:AE36)</f>
        <v>79330.5561733471</v>
      </c>
      <c r="AF37" s="29" t="n">
        <f aca="false">SUM(AF29:AF36)</f>
        <v>79601.4728585475</v>
      </c>
      <c r="AG37" s="29" t="n">
        <f aca="false">SUM(AG29:AG36)</f>
        <v>79880.5170443039</v>
      </c>
      <c r="AH37" s="29" t="n">
        <f aca="false">SUM(AH29:AH36)</f>
        <v>80167.932555633</v>
      </c>
      <c r="AI37" s="29" t="n">
        <f aca="false">SUM(AI29:AI36)</f>
        <v>80463.970532302</v>
      </c>
      <c r="AJ37" s="29" t="n">
        <f aca="false">SUM(AJ29:AJ36)</f>
        <v>80768.8896482711</v>
      </c>
      <c r="AK37" s="29" t="n">
        <f aca="false">SUM(AK29:AK36)</f>
        <v>81082.9563377192</v>
      </c>
      <c r="AL37" s="29" t="n">
        <f aca="false">SUM(AL29:AL36)</f>
        <v>81406.4450278508</v>
      </c>
    </row>
    <row r="39" customFormat="false" ht="15" hidden="false" customHeight="false" outlineLevel="0" collapsed="false">
      <c r="B39" s="14" t="s">
        <v>323</v>
      </c>
      <c r="C39" s="29" t="n">
        <f aca="false">C26-C37</f>
        <v>-80105</v>
      </c>
      <c r="D39" s="29" t="n">
        <f aca="false">D26-D37</f>
        <v>-48480</v>
      </c>
      <c r="E39" s="29" t="n">
        <f aca="false">E26-E37</f>
        <v>-40980</v>
      </c>
      <c r="F39" s="29" t="n">
        <f aca="false">F26-F37</f>
        <v>-40980</v>
      </c>
      <c r="G39" s="29" t="n">
        <f aca="false">G26-G37</f>
        <v>-35980</v>
      </c>
      <c r="H39" s="29" t="n">
        <f aca="false">H26-H37</f>
        <v>-63980</v>
      </c>
      <c r="I39" s="29" t="n">
        <f aca="false">I26-I37</f>
        <v>-37480</v>
      </c>
      <c r="J39" s="29" t="n">
        <f aca="false">J26-J37</f>
        <v>-39250</v>
      </c>
      <c r="K39" s="29" t="n">
        <f aca="false">K26-K37</f>
        <v>-41774.7224</v>
      </c>
      <c r="L39" s="29" t="n">
        <f aca="false">L26-L37</f>
        <v>-40127.5912</v>
      </c>
      <c r="M39" s="29" t="n">
        <f aca="false">M26-M37</f>
        <v>-38482.73225016</v>
      </c>
      <c r="N39" s="29" t="n">
        <f aca="false">N26-N37</f>
        <v>-32826.0056324</v>
      </c>
      <c r="O39" s="29" t="n">
        <f aca="false">O26-O37</f>
        <v>-30668.5884736651</v>
      </c>
      <c r="P39" s="29" t="n">
        <f aca="false">P26-P37</f>
        <v>-25005.3897199994</v>
      </c>
      <c r="Q39" s="29" t="n">
        <f aca="false">Q26-Q37</f>
        <v>-19331.3176959601</v>
      </c>
      <c r="R39" s="29" t="n">
        <f aca="false">R26-R37</f>
        <v>-13641.2755226687</v>
      </c>
      <c r="S39" s="29" t="n">
        <f aca="false">S26-S37</f>
        <v>-7930.15653530363</v>
      </c>
      <c r="T39" s="29" t="n">
        <f aca="false">T26-T37</f>
        <v>-2192.83969590898</v>
      </c>
      <c r="U39" s="29" t="n">
        <f aca="false">U26-U37</f>
        <v>-14424.1849973961</v>
      </c>
      <c r="V39" s="29" t="n">
        <f aca="false">V26-V37</f>
        <v>-8619.02885460959</v>
      </c>
      <c r="W39" s="29" t="n">
        <f aca="false">W26-W37</f>
        <v>-11272.1794783207</v>
      </c>
      <c r="X39" s="29" t="n">
        <f aca="false">X26-X37</f>
        <v>-5378.41222800098</v>
      </c>
      <c r="Y39" s="29" t="n">
        <f aca="false">Y26-Y37</f>
        <v>567.535060788279</v>
      </c>
      <c r="Z39" s="29" t="n">
        <f aca="false">Z26-Z37</f>
        <v>6570.96677857233</v>
      </c>
      <c r="AA39" s="29" t="n">
        <f aca="false">AA26-AA37</f>
        <v>137.234277911077</v>
      </c>
      <c r="AB39" s="29" t="n">
        <f aca="false">AB26-AB37</f>
        <v>6271.74064735057</v>
      </c>
      <c r="AC39" s="29" t="n">
        <f aca="false">AC26-AC37</f>
        <v>12479.9455276402</v>
      </c>
      <c r="AD39" s="29" t="n">
        <f aca="false">AD26-AD37</f>
        <v>18767.3699745124</v>
      </c>
      <c r="AE39" s="29" t="n">
        <f aca="false">AE26-AE37</f>
        <v>25139.6013723595</v>
      </c>
      <c r="AF39" s="29" t="n">
        <f aca="false">AF26-AF37</f>
        <v>31602.2984031836</v>
      </c>
      <c r="AG39" s="29" t="n">
        <f aca="false">AG26-AG37</f>
        <v>38161.1960752429</v>
      </c>
      <c r="AH39" s="29" t="n">
        <f aca="false">AH26-AH37</f>
        <v>36322.110815865</v>
      </c>
      <c r="AI39" s="29" t="n">
        <f aca="false">AI26-AI37</f>
        <v>43090.9456329549</v>
      </c>
      <c r="AJ39" s="29" t="n">
        <f aca="false">AJ26-AJ37</f>
        <v>49973.6953497791</v>
      </c>
      <c r="AK39" s="29" t="n">
        <f aca="false">AK26-AK37</f>
        <v>56976.4519176728</v>
      </c>
      <c r="AL39" s="29" t="n">
        <f aca="false">AL26-AL37</f>
        <v>64105.4098113814</v>
      </c>
    </row>
    <row r="40" customFormat="false" ht="15" hidden="false" customHeight="false" outlineLevel="0" collapsed="false">
      <c r="B40" s="14" t="s">
        <v>324</v>
      </c>
      <c r="C40" s="29" t="n">
        <f aca="false">C39</f>
        <v>-80105</v>
      </c>
      <c r="D40" s="29" t="n">
        <f aca="false">C40+D39</f>
        <v>-128585</v>
      </c>
      <c r="E40" s="29" t="n">
        <f aca="false">D40+E39</f>
        <v>-169565</v>
      </c>
      <c r="F40" s="29" t="n">
        <f aca="false">E40+F39</f>
        <v>-210545</v>
      </c>
      <c r="G40" s="29" t="n">
        <f aca="false">F40+G39</f>
        <v>-246525</v>
      </c>
      <c r="H40" s="29" t="n">
        <f aca="false">G40+H39</f>
        <v>-310505</v>
      </c>
      <c r="I40" s="29" t="n">
        <f aca="false">H40+I39</f>
        <v>-347985</v>
      </c>
      <c r="J40" s="29" t="n">
        <f aca="false">I40+J39</f>
        <v>-387235</v>
      </c>
      <c r="K40" s="29" t="n">
        <f aca="false">J40+K39</f>
        <v>-429009.7224</v>
      </c>
      <c r="L40" s="29" t="n">
        <f aca="false">K40+L39</f>
        <v>-469137.3136</v>
      </c>
      <c r="M40" s="29" t="n">
        <f aca="false">L40+M39</f>
        <v>-507620.04585016</v>
      </c>
      <c r="N40" s="29" t="n">
        <f aca="false">M40+N39</f>
        <v>-540446.05148256</v>
      </c>
      <c r="O40" s="29" t="n">
        <f aca="false">N40+O39</f>
        <v>-571114.639956225</v>
      </c>
      <c r="P40" s="29" t="n">
        <f aca="false">O40+P39</f>
        <v>-596120.029676225</v>
      </c>
      <c r="Q40" s="29" t="n">
        <f aca="false">P40+Q39</f>
        <v>-615451.347372185</v>
      </c>
      <c r="R40" s="29" t="n">
        <f aca="false">Q40+R39</f>
        <v>-629092.622894853</v>
      </c>
      <c r="S40" s="29" t="n">
        <f aca="false">R40+S39</f>
        <v>-637022.779430157</v>
      </c>
      <c r="T40" s="29" t="n">
        <f aca="false">S40+T39</f>
        <v>-639215.619126066</v>
      </c>
      <c r="U40" s="29" t="n">
        <f aca="false">T40+U39</f>
        <v>-653639.804123462</v>
      </c>
      <c r="V40" s="29" t="n">
        <f aca="false">U40+V39</f>
        <v>-662258.832978072</v>
      </c>
      <c r="W40" s="29" t="n">
        <f aca="false">V40+W39</f>
        <v>-673531.012456392</v>
      </c>
      <c r="X40" s="29" t="n">
        <f aca="false">W40+X39</f>
        <v>-678909.424684393</v>
      </c>
      <c r="Y40" s="29" t="n">
        <f aca="false">X40+Y39</f>
        <v>-678341.889623605</v>
      </c>
      <c r="Z40" s="29" t="n">
        <f aca="false">Y40+Z39</f>
        <v>-671770.922845033</v>
      </c>
      <c r="AA40" s="29" t="n">
        <f aca="false">Z40+AA39</f>
        <v>-671633.688567122</v>
      </c>
      <c r="AB40" s="29" t="n">
        <f aca="false">AA40+AB39</f>
        <v>-665361.947919771</v>
      </c>
      <c r="AC40" s="29" t="n">
        <f aca="false">AB40+AC39</f>
        <v>-652882.002392131</v>
      </c>
      <c r="AD40" s="29" t="n">
        <f aca="false">AC40+AD39</f>
        <v>-634114.632417618</v>
      </c>
      <c r="AE40" s="29" t="n">
        <f aca="false">AD40+AE39</f>
        <v>-608975.031045259</v>
      </c>
      <c r="AF40" s="29" t="n">
        <f aca="false">AE40+AF39</f>
        <v>-577372.732642075</v>
      </c>
      <c r="AG40" s="29" t="n">
        <f aca="false">AF40+AG39</f>
        <v>-539211.536566833</v>
      </c>
      <c r="AH40" s="29" t="n">
        <f aca="false">AG40+AH39</f>
        <v>-502889.425750967</v>
      </c>
      <c r="AI40" s="29" t="n">
        <f aca="false">AH40+AI39</f>
        <v>-459798.480118012</v>
      </c>
      <c r="AJ40" s="29" t="n">
        <f aca="false">AI40+AJ39</f>
        <v>-409824.784768233</v>
      </c>
      <c r="AK40" s="29" t="n">
        <f aca="false">AJ40+AK39</f>
        <v>-352848.332850561</v>
      </c>
      <c r="AL40" s="29" t="n">
        <f aca="false">AK40+AL39</f>
        <v>-288742.923039179</v>
      </c>
    </row>
    <row r="41" customFormat="false" ht="15" hidden="false" customHeight="false" outlineLevel="0" collapsed="false">
      <c r="B41" s="2" t="s">
        <v>325</v>
      </c>
      <c r="C41" s="6" t="n">
        <f aca="false">C25+C37</f>
        <v>80105</v>
      </c>
      <c r="D41" s="6" t="n">
        <f aca="false">D25+D37</f>
        <v>48480</v>
      </c>
      <c r="E41" s="6" t="n">
        <f aca="false">E25+E37</f>
        <v>40980</v>
      </c>
      <c r="F41" s="6" t="n">
        <f aca="false">F25+F37</f>
        <v>40980</v>
      </c>
      <c r="G41" s="6" t="n">
        <f aca="false">G25+G37</f>
        <v>35980</v>
      </c>
      <c r="H41" s="6" t="n">
        <f aca="false">H25+H37</f>
        <v>63980</v>
      </c>
      <c r="I41" s="6" t="n">
        <f aca="false">I25+I37</f>
        <v>37480</v>
      </c>
      <c r="J41" s="6" t="n">
        <f aca="false">J25+J37</f>
        <v>39250</v>
      </c>
      <c r="K41" s="6" t="n">
        <f aca="false">K25+K37</f>
        <v>44692.7224</v>
      </c>
      <c r="L41" s="6" t="n">
        <f aca="false">L25+L37</f>
        <v>45265.1912</v>
      </c>
      <c r="M41" s="6" t="n">
        <f aca="false">M25+M37</f>
        <v>45842.55845016</v>
      </c>
      <c r="N41" s="6" t="n">
        <f aca="false">N25+N37</f>
        <v>46545.1818724</v>
      </c>
      <c r="O41" s="6" t="n">
        <f aca="false">O25+O37</f>
        <v>50753.7385972451</v>
      </c>
      <c r="P41" s="6" t="n">
        <f aca="false">P25+P37</f>
        <v>51468.8609857755</v>
      </c>
      <c r="Q41" s="6" t="n">
        <f aca="false">Q25+Q37</f>
        <v>52191.1867390433</v>
      </c>
      <c r="R41" s="6" t="n">
        <f aca="false">R25+R37</f>
        <v>52921.3594671983</v>
      </c>
      <c r="S41" s="6" t="n">
        <f aca="false">S25+S37</f>
        <v>53660.0292634185</v>
      </c>
      <c r="T41" s="6" t="n">
        <f aca="false">T25+T37</f>
        <v>54407.8532831591</v>
      </c>
      <c r="U41" s="6" t="n">
        <f aca="false">U25+U37</f>
        <v>73165.4963292368</v>
      </c>
      <c r="V41" s="6" t="n">
        <f aca="false">V25+V37</f>
        <v>73933.6314432694</v>
      </c>
      <c r="W41" s="6" t="n">
        <f aca="false">W25+W37</f>
        <v>83212.9405039983</v>
      </c>
      <c r="X41" s="6" t="n">
        <f aca="false">X25+X37</f>
        <v>84004.1148330261</v>
      </c>
      <c r="Y41" s="6" t="n">
        <f aca="false">Y25+Y37</f>
        <v>84807.8558085075</v>
      </c>
      <c r="Z41" s="6" t="n">
        <f aca="false">Z25+Z37</f>
        <v>85624.8754873386</v>
      </c>
      <c r="AA41" s="6" t="n">
        <f aca="false">AA25+AA37</f>
        <v>98955.8972363974</v>
      </c>
      <c r="AB41" s="6" t="n">
        <f aca="false">AB25+AB37</f>
        <v>99801.6563733948</v>
      </c>
      <c r="AC41" s="6" t="n">
        <f aca="false">AC25+AC37</f>
        <v>100662.900817905</v>
      </c>
      <c r="AD41" s="6" t="n">
        <f aca="false">AD25+AD37</f>
        <v>101540.391753151</v>
      </c>
      <c r="AE41" s="6" t="n">
        <f aca="false">AE25+AE37</f>
        <v>102434.904299134</v>
      </c>
      <c r="AF41" s="6" t="n">
        <f aca="false">AF25+AF37</f>
        <v>103347.228197694</v>
      </c>
      <c r="AG41" s="6" t="n">
        <f aca="false">AG25+AG37</f>
        <v>104278.168510123</v>
      </c>
      <c r="AH41" s="6" t="n">
        <f aca="false">AH25+AH37</f>
        <v>113728.54632793</v>
      </c>
      <c r="AI41" s="6" t="n">
        <f aca="false">AI25+AI37</f>
        <v>114699.199497397</v>
      </c>
      <c r="AJ41" s="6" t="n">
        <f aca="false">AJ25+AJ37</f>
        <v>115690.983358558</v>
      </c>
      <c r="AK41" s="6" t="n">
        <f aca="false">AK25+AK37</f>
        <v>116704.771499268</v>
      </c>
      <c r="AL41" s="6" t="n">
        <f aca="false">AL25+AL37</f>
        <v>117741.456524999</v>
      </c>
    </row>
    <row r="43" customFormat="false" ht="15" hidden="false" customHeight="false" outlineLevel="0" collapsed="false">
      <c r="B43" s="2" t="s">
        <v>326</v>
      </c>
      <c r="C43" s="8" t="n">
        <f aca="false">IF(AND(C6=1,C39&gt;0),C4,999)</f>
        <v>999</v>
      </c>
      <c r="D43" s="8" t="n">
        <f aca="false">IF(AND(D6=1,D39&gt;0),D4,999)</f>
        <v>999</v>
      </c>
      <c r="E43" s="8" t="n">
        <f aca="false">IF(AND(E6=1,E39&gt;0),E4,999)</f>
        <v>999</v>
      </c>
      <c r="F43" s="8" t="n">
        <f aca="false">IF(AND(F6=1,F39&gt;0),F4,999)</f>
        <v>999</v>
      </c>
      <c r="G43" s="8" t="n">
        <f aca="false">IF(AND(G6=1,G39&gt;0),G4,999)</f>
        <v>999</v>
      </c>
      <c r="H43" s="8" t="n">
        <f aca="false">IF(AND(H6=1,H39&gt;0),H4,999)</f>
        <v>999</v>
      </c>
      <c r="I43" s="8" t="n">
        <f aca="false">IF(AND(I6=1,I39&gt;0),I4,999)</f>
        <v>999</v>
      </c>
      <c r="J43" s="8" t="n">
        <f aca="false">IF(AND(J6=1,J39&gt;0),J4,999)</f>
        <v>999</v>
      </c>
      <c r="K43" s="8" t="n">
        <f aca="false">IF(AND(K6=1,K39&gt;0),K4,999)</f>
        <v>999</v>
      </c>
      <c r="L43" s="8" t="n">
        <f aca="false">IF(AND(L6=1,L39&gt;0),L4,999)</f>
        <v>999</v>
      </c>
      <c r="M43" s="8" t="n">
        <f aca="false">IF(AND(M6=1,M39&gt;0),M4,999)</f>
        <v>999</v>
      </c>
      <c r="N43" s="8" t="n">
        <f aca="false">IF(AND(N6=1,N39&gt;0),N4,999)</f>
        <v>999</v>
      </c>
      <c r="O43" s="8" t="n">
        <f aca="false">IF(AND(O6=1,O39&gt;0),O4,999)</f>
        <v>999</v>
      </c>
      <c r="P43" s="8" t="n">
        <f aca="false">IF(AND(P6=1,P39&gt;0),P4,999)</f>
        <v>999</v>
      </c>
      <c r="Q43" s="8" t="n">
        <f aca="false">IF(AND(Q6=1,Q39&gt;0),Q4,999)</f>
        <v>999</v>
      </c>
      <c r="R43" s="8" t="n">
        <f aca="false">IF(AND(R6=1,R39&gt;0),R4,999)</f>
        <v>999</v>
      </c>
      <c r="S43" s="8" t="n">
        <f aca="false">IF(AND(S6=1,S39&gt;0),S4,999)</f>
        <v>999</v>
      </c>
      <c r="T43" s="8" t="n">
        <f aca="false">IF(AND(T6=1,T39&gt;0),T4,999)</f>
        <v>999</v>
      </c>
      <c r="U43" s="8" t="n">
        <f aca="false">IF(AND(U6=1,U39&gt;0),U4,999)</f>
        <v>999</v>
      </c>
      <c r="V43" s="8" t="n">
        <f aca="false">IF(AND(V6=1,V39&gt;0),V4,999)</f>
        <v>999</v>
      </c>
      <c r="W43" s="8" t="n">
        <f aca="false">IF(AND(W6=1,W39&gt;0),W4,999)</f>
        <v>999</v>
      </c>
      <c r="X43" s="8" t="n">
        <f aca="false">IF(AND(X6=1,X39&gt;0),X4,999)</f>
        <v>999</v>
      </c>
      <c r="Y43" s="8" t="n">
        <f aca="false">IF(AND(Y6=1,Y39&gt;0),Y4,999)</f>
        <v>23</v>
      </c>
      <c r="Z43" s="8" t="n">
        <f aca="false">IF(AND(Z6=1,Z39&gt;0),Z4,999)</f>
        <v>24</v>
      </c>
      <c r="AA43" s="8" t="n">
        <f aca="false">IF(AND(AA6=1,AA39&gt;0),AA4,999)</f>
        <v>25</v>
      </c>
      <c r="AB43" s="8" t="n">
        <f aca="false">IF(AND(AB6=1,AB39&gt;0),AB4,999)</f>
        <v>26</v>
      </c>
      <c r="AC43" s="8" t="n">
        <f aca="false">IF(AND(AC6=1,AC39&gt;0),AC4,999)</f>
        <v>27</v>
      </c>
      <c r="AD43" s="8" t="n">
        <f aca="false">IF(AND(AD6=1,AD39&gt;0),AD4,999)</f>
        <v>28</v>
      </c>
      <c r="AE43" s="8" t="n">
        <f aca="false">IF(AND(AE6=1,AE39&gt;0),AE4,999)</f>
        <v>29</v>
      </c>
      <c r="AF43" s="8" t="n">
        <f aca="false">IF(AND(AF6=1,AF39&gt;0),AF4,999)</f>
        <v>30</v>
      </c>
      <c r="AG43" s="8" t="n">
        <f aca="false">IF(AND(AG6=1,AG39&gt;0),AG4,999)</f>
        <v>31</v>
      </c>
      <c r="AH43" s="8" t="n">
        <f aca="false">IF(AND(AH6=1,AH39&gt;0),AH4,999)</f>
        <v>32</v>
      </c>
      <c r="AI43" s="8" t="n">
        <f aca="false">IF(AND(AI6=1,AI39&gt;0),AI4,999)</f>
        <v>33</v>
      </c>
      <c r="AJ43" s="8" t="n">
        <f aca="false">IF(AND(AJ6=1,AJ39&gt;0),AJ4,999)</f>
        <v>34</v>
      </c>
      <c r="AK43" s="8" t="n">
        <f aca="false">IF(AND(AK6=1,AK39&gt;0),AK4,999)</f>
        <v>35</v>
      </c>
      <c r="AL43" s="8" t="n">
        <f aca="false">IF(AND(AL6=1,AL39&gt;0),AL4,999)</f>
        <v>36</v>
      </c>
    </row>
    <row r="44" customFormat="false" ht="15" hidden="false" customHeight="false" outlineLevel="0" collapsed="false">
      <c r="B44" s="2" t="s">
        <v>327</v>
      </c>
      <c r="C44" s="8" t="n">
        <f aca="false">IF(AND(C6=1,C40&gt;=0),C4,999)</f>
        <v>999</v>
      </c>
      <c r="D44" s="8" t="n">
        <f aca="false">IF(AND(D6=1,D40&gt;=0),D4,999)</f>
        <v>999</v>
      </c>
      <c r="E44" s="8" t="n">
        <f aca="false">IF(AND(E6=1,E40&gt;=0),E4,999)</f>
        <v>999</v>
      </c>
      <c r="F44" s="8" t="n">
        <f aca="false">IF(AND(F6=1,F40&gt;=0),F4,999)</f>
        <v>999</v>
      </c>
      <c r="G44" s="8" t="n">
        <f aca="false">IF(AND(G6=1,G40&gt;=0),G4,999)</f>
        <v>999</v>
      </c>
      <c r="H44" s="8" t="n">
        <f aca="false">IF(AND(H6=1,H40&gt;=0),H4,999)</f>
        <v>999</v>
      </c>
      <c r="I44" s="8" t="n">
        <f aca="false">IF(AND(I6=1,I40&gt;=0),I4,999)</f>
        <v>999</v>
      </c>
      <c r="J44" s="8" t="n">
        <f aca="false">IF(AND(J6=1,J40&gt;=0),J4,999)</f>
        <v>999</v>
      </c>
      <c r="K44" s="8" t="n">
        <f aca="false">IF(AND(K6=1,K40&gt;=0),K4,999)</f>
        <v>999</v>
      </c>
      <c r="L44" s="8" t="n">
        <f aca="false">IF(AND(L6=1,L40&gt;=0),L4,999)</f>
        <v>999</v>
      </c>
      <c r="M44" s="8" t="n">
        <f aca="false">IF(AND(M6=1,M40&gt;=0),M4,999)</f>
        <v>999</v>
      </c>
      <c r="N44" s="8" t="n">
        <f aca="false">IF(AND(N6=1,N40&gt;=0),N4,999)</f>
        <v>999</v>
      </c>
      <c r="O44" s="8" t="n">
        <f aca="false">IF(AND(O6=1,O40&gt;=0),O4,999)</f>
        <v>999</v>
      </c>
      <c r="P44" s="8" t="n">
        <f aca="false">IF(AND(P6=1,P40&gt;=0),P4,999)</f>
        <v>999</v>
      </c>
      <c r="Q44" s="8" t="n">
        <f aca="false">IF(AND(Q6=1,Q40&gt;=0),Q4,999)</f>
        <v>999</v>
      </c>
      <c r="R44" s="8" t="n">
        <f aca="false">IF(AND(R6=1,R40&gt;=0),R4,999)</f>
        <v>999</v>
      </c>
      <c r="S44" s="8" t="n">
        <f aca="false">IF(AND(S6=1,S40&gt;=0),S4,999)</f>
        <v>999</v>
      </c>
      <c r="T44" s="8" t="n">
        <f aca="false">IF(AND(T6=1,T40&gt;=0),T4,999)</f>
        <v>999</v>
      </c>
      <c r="U44" s="8" t="n">
        <f aca="false">IF(AND(U6=1,U40&gt;=0),U4,999)</f>
        <v>999</v>
      </c>
      <c r="V44" s="8" t="n">
        <f aca="false">IF(AND(V6=1,V40&gt;=0),V4,999)</f>
        <v>999</v>
      </c>
      <c r="W44" s="8" t="n">
        <f aca="false">IF(AND(W6=1,W40&gt;=0),W4,999)</f>
        <v>999</v>
      </c>
      <c r="X44" s="8" t="n">
        <f aca="false">IF(AND(X6=1,X40&gt;=0),X4,999)</f>
        <v>999</v>
      </c>
      <c r="Y44" s="8" t="n">
        <f aca="false">IF(AND(Y6=1,Y40&gt;=0),Y4,999)</f>
        <v>999</v>
      </c>
      <c r="Z44" s="8" t="n">
        <f aca="false">IF(AND(Z6=1,Z40&gt;=0),Z4,999)</f>
        <v>999</v>
      </c>
      <c r="AA44" s="8" t="n">
        <f aca="false">IF(AND(AA6=1,AA40&gt;=0),AA4,999)</f>
        <v>999</v>
      </c>
      <c r="AB44" s="8" t="n">
        <f aca="false">IF(AND(AB6=1,AB40&gt;=0),AB4,999)</f>
        <v>999</v>
      </c>
      <c r="AC44" s="8" t="n">
        <f aca="false">IF(AND(AC6=1,AC40&gt;=0),AC4,999)</f>
        <v>999</v>
      </c>
      <c r="AD44" s="8" t="n">
        <f aca="false">IF(AND(AD6=1,AD40&gt;=0),AD4,999)</f>
        <v>999</v>
      </c>
      <c r="AE44" s="8" t="n">
        <f aca="false">IF(AND(AE6=1,AE40&gt;=0),AE4,999)</f>
        <v>999</v>
      </c>
      <c r="AF44" s="8" t="n">
        <f aca="false">IF(AND(AF6=1,AF40&gt;=0),AF4,999)</f>
        <v>999</v>
      </c>
      <c r="AG44" s="8" t="n">
        <f aca="false">IF(AND(AG6=1,AG40&gt;=0),AG4,999)</f>
        <v>999</v>
      </c>
      <c r="AH44" s="8" t="n">
        <f aca="false">IF(AND(AH6=1,AH40&gt;=0),AH4,999)</f>
        <v>999</v>
      </c>
      <c r="AI44" s="8" t="n">
        <f aca="false">IF(AND(AI6=1,AI40&gt;=0),AI4,999)</f>
        <v>999</v>
      </c>
      <c r="AJ44" s="8" t="n">
        <f aca="false">IF(AND(AJ6=1,AJ40&gt;=0),AJ4,999)</f>
        <v>999</v>
      </c>
      <c r="AK44" s="8" t="n">
        <f aca="false">IF(AND(AK6=1,AK40&gt;=0),AK4,999)</f>
        <v>999</v>
      </c>
      <c r="AL44" s="8" t="n">
        <f aca="false">IF(AND(AL6=1,AL40&gt;=0),AL4,999)</f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2026-10-30T02:04:43Z</dcterms:created>
  <dc:creator>openpyxl</dc:creator>
  <dc:description/>
  <dc:language>en-US</dc:language>
  <cp:lastModifiedBy/>
  <dcterms:modified xsi:type="dcterms:W3CDTF">2026-10-30T02:04:47Z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