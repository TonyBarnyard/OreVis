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Parts &amp; Costs" sheetId="2" state="visible" r:id="rId2"/>
    <sheet xmlns:r="http://schemas.openxmlformats.org/officeDocument/2006/relationships" name="Software Plan" sheetId="3" state="visible" r:id="rId3"/>
    <sheet xmlns:r="http://schemas.openxmlformats.org/officeDocument/2006/relationships" name="Wiring &amp; Test Log" sheetId="4" state="visible" r:id="rId4"/>
  </sheets>
  <definedNames>
    <definedName name="_xlnm._FilterDatabase" localSheetId="0" hidden="1">'Project Plan'!$A$9:$F$27</definedName>
    <definedName name="_xlnm._FilterDatabase" localSheetId="1" hidden="1">'Parts &amp; Costs'!$A$4:$J$19</definedName>
    <definedName name="_xlnm._FilterDatabase" localSheetId="2" hidden="1">'Software Plan'!$A$4:$G$13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19465A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9465A"/>
      </patternFill>
    </fill>
    <fill>
      <patternFill patternType="solid">
        <fgColor rgb="00F3F7F8"/>
      </patternFill>
    </fill>
    <fill>
      <patternFill patternType="solid">
        <fgColor rgb="00DDEBF0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164" fontId="0" fillId="3" borderId="1" applyAlignment="1" pivotButton="0" quotePrefix="0" xfId="0">
      <alignment vertical="top" wrapText="1"/>
    </xf>
    <xf numFmtId="0" fontId="5" fillId="3" borderId="1" applyAlignment="1" pivotButton="0" quotePrefix="0" xfId="1">
      <alignment vertical="top" wrapText="1"/>
    </xf>
    <xf numFmtId="0" fontId="3" fillId="4" borderId="0" pivotButton="0" quotePrefix="0" xfId="0"/>
    <xf numFmtId="164" fontId="3" fillId="4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re-electronics.com.au/raspberry-pi-pico-w-wireless-wifi.html" TargetMode="External" Id="rId1"/><Relationship Type="http://schemas.openxmlformats.org/officeDocument/2006/relationships/hyperlink" Target="https://core-electronics.com.au/pico-display-pack-2-0.html" TargetMode="External" Id="rId2"/><Relationship Type="http://schemas.openxmlformats.org/officeDocument/2006/relationships/hyperlink" Target="https://www.robotgear.com.au/Product.aspx/Details/5513-SparkFun-Motor-Driver-Dual-TB6612FNG-with-Headers" TargetMode="External" Id="rId3"/><Relationship Type="http://schemas.openxmlformats.org/officeDocument/2006/relationships/hyperlink" Target="https://www.amazon.com.au/s?k=N20+6V+geared+motor" TargetMode="External" Id="rId4"/><Relationship Type="http://schemas.openxmlformats.org/officeDocument/2006/relationships/hyperlink" Target="https://www.amazon.com.au/s?k=small+robot+wheels+N20" TargetMode="External" Id="rId5"/><Relationship Type="http://schemas.openxmlformats.org/officeDocument/2006/relationships/hyperlink" Target="https://www.jaycar.com.au/search?text=battery+holder" TargetMode="External" Id="rId6"/><Relationship Type="http://schemas.openxmlformats.org/officeDocument/2006/relationships/hyperlink" Target="https://www.mlab.com.au/products/gravity-vl53l0x-tof-distance-sensor-30-2000mm" TargetMode="External" Id="rId7"/><Relationship Type="http://schemas.openxmlformats.org/officeDocument/2006/relationships/hyperlink" Target="https://www.jaycar.com.au/search?text=servo" TargetMode="External" Id="rId8"/><Relationship Type="http://schemas.openxmlformats.org/officeDocument/2006/relationships/hyperlink" Target="https://www.jaycar.com.au/search?text=USB+data+cable" TargetMode="External" Id="rId9"/><Relationship Type="http://schemas.openxmlformats.org/officeDocument/2006/relationships/hyperlink" Target="https://core-electronics.com.au/search.php?search_query=Raspberry+Pi+Pico+protoboard" TargetMode="External" Id="rId10"/><Relationship Type="http://schemas.openxmlformats.org/officeDocument/2006/relationships/hyperlink" Target="https://www.amazon.com.au/s?k=M3+screws+nuts+spacers+kit" TargetMode="External" Id="rId11"/><Relationship Type="http://schemas.openxmlformats.org/officeDocument/2006/relationships/hyperlink" Target="https://www.printables.com/search/models?q=robot%20chassis" TargetMode="External" Id="rId12"/><Relationship Type="http://schemas.openxmlformats.org/officeDocument/2006/relationships/hyperlink" Target="https://www.amazon.com.au/s?k=small+robot+tracked+chassis+kit" TargetMode="External" Id="rId13"/><Relationship Type="http://schemas.openxmlformats.org/officeDocument/2006/relationships/hyperlink" Target="https://core-electronics.com.au/search.php?search_query=Raspberry+Pi+camera" TargetMode="External" Id="rId14"/><Relationship Type="http://schemas.openxmlformats.org/officeDocument/2006/relationships/hyperlink" Target="https://www.jaycar.com.au/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aspberrypi.com/documentation/microcontrollers/micropython.html" TargetMode="External" Id="rId1"/><Relationship Type="http://schemas.openxmlformats.org/officeDocument/2006/relationships/hyperlink" Target="https://thonny.org/" TargetMode="External" Id="rId2"/><Relationship Type="http://schemas.openxmlformats.org/officeDocument/2006/relationships/hyperlink" Target="https://core-electronics.com.au/pico-display-pack-2-0.html" TargetMode="External" Id="rId3"/><Relationship Type="http://schemas.openxmlformats.org/officeDocument/2006/relationships/hyperlink" Target="https://www.raspberrypi.com/documentation/microcontrollers/pico-series.html" TargetMode="External" Id="rId4"/><Relationship Type="http://schemas.openxmlformats.org/officeDocument/2006/relationships/hyperlink" Target="https://www.mlab.com.au/products/gravity-vl53l0x-tof-distance-sensor-30-2000mm" TargetMode="External" Id="rId5"/><Relationship Type="http://schemas.openxmlformats.org/officeDocument/2006/relationships/hyperlink" Target="https://www.raspberrypi.com/documentation/microcontrollers/micropython.html" TargetMode="External" Id="rId6"/><Relationship Type="http://schemas.openxmlformats.org/officeDocument/2006/relationships/hyperlink" Target="https://www.raspberrypi.com/documentation/microcontrollers/micropython.html" TargetMode="External" Id="rId7"/><Relationship Type="http://schemas.openxmlformats.org/officeDocument/2006/relationships/hyperlink" Target="https://projects.raspberrypi.org/en/projects/introduction-to-the-pico" TargetMode="External" Id="rId8"/><Relationship Type="http://schemas.openxmlformats.org/officeDocument/2006/relationships/hyperlink" Target="https://core-electronics.com.au/search.php?search_query=Raspberry+Pi+camera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zoomScale="8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72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1" t="inlineStr">
        <is>
          <t>ROBOT BUILD PROJECT PLAN</t>
        </is>
      </c>
    </row>
    <row r="2" ht="24" customHeight="1">
      <c r="A2" s="2" t="inlineStr">
        <is>
          <t>Rounded-square robot • Raspberry Pi Pico W • colour face • four wheels underneath • optional tracks later</t>
        </is>
      </c>
    </row>
    <row r="4">
      <c r="A4" s="3" t="inlineStr">
        <is>
          <t>Project goal</t>
        </is>
      </c>
      <c r="B4" s="4" t="inlineStr">
        <is>
          <t>Build a small rounded-square robot with a colour display for animated eyes, four powered wheels, a servo-operated camera mount, an obstacle sensor and phone-app control over Wi-Fi. Start with a wheeled prototype; add tracks and live camera video only after the basics work.</t>
        </is>
      </c>
    </row>
    <row r="5"/>
    <row r="7">
      <c r="A7" s="3" t="inlineStr">
        <is>
          <t>Planning budget (AUD)</t>
        </is>
      </c>
      <c r="B7" t="inlineStr">
        <is>
          <t>See Parts &amp; Costs tab; estimates only, verify current pricing and compatibility before buying.</t>
        </is>
      </c>
    </row>
    <row r="9" ht="30" customHeight="1">
      <c r="A9" s="5" t="inlineStr">
        <is>
          <t>ID</t>
        </is>
      </c>
      <c r="B9" s="5" t="inlineStr">
        <is>
          <t>Stage / task</t>
        </is>
      </c>
      <c r="C9" s="5" t="inlineStr">
        <is>
          <t>Instructions / deliverable</t>
        </is>
      </c>
      <c r="D9" s="5" t="inlineStr">
        <is>
          <t>Dependency</t>
        </is>
      </c>
      <c r="E9" s="5" t="inlineStr">
        <is>
          <t>Estimate</t>
        </is>
      </c>
      <c r="F9" s="5" t="inlineStr">
        <is>
          <t>Status</t>
        </is>
      </c>
    </row>
    <row r="10">
      <c r="A10" s="6" t="inlineStr">
        <is>
          <t>P01</t>
        </is>
      </c>
      <c r="B10" s="6" t="inlineStr">
        <is>
          <t>Confirm design dimensions</t>
        </is>
      </c>
      <c r="C10" s="6" t="inlineStr">
        <is>
          <t>Measure the display, Pico board, motors, wheel diameter, battery and camera mount. Draw the internal layout and wheel openings. Do not finalise the shell before measuring real parts.</t>
        </is>
      </c>
      <c r="D10" s="6" t="inlineStr">
        <is>
          <t>None</t>
        </is>
      </c>
      <c r="E10" s="6" t="inlineStr">
        <is>
          <t>2–4 hours</t>
        </is>
      </c>
      <c r="F10" s="6" t="inlineStr">
        <is>
          <t>Not started</t>
        </is>
      </c>
    </row>
    <row r="11">
      <c r="A11" s="7" t="inlineStr">
        <is>
          <t>P02</t>
        </is>
      </c>
      <c r="B11" s="7" t="inlineStr">
        <is>
          <t>Confirm compatible electronics</t>
        </is>
      </c>
      <c r="C11" s="7" t="inlineStr">
        <is>
          <t>Choose motors and check their stall current against the motor-driver ratings. Confirm display interface/library, servo supply, battery voltage and regulated logic supply.</t>
        </is>
      </c>
      <c r="D11" s="7" t="inlineStr">
        <is>
          <t>P01</t>
        </is>
      </c>
      <c r="E11" s="7" t="inlineStr">
        <is>
          <t>2–3 hours</t>
        </is>
      </c>
      <c r="F11" s="7" t="inlineStr">
        <is>
          <t>Not started</t>
        </is>
      </c>
    </row>
    <row r="12">
      <c r="A12" s="6" t="inlineStr">
        <is>
          <t>P03</t>
        </is>
      </c>
      <c r="B12" s="6" t="inlineStr">
        <is>
          <t>Order essential parts</t>
        </is>
      </c>
      <c r="C12" s="6" t="inlineStr">
        <is>
          <t>Use the Parts &amp; Costs tab. Buy only after checking seller stock, delivery, connectors and voltage/current specs.</t>
        </is>
      </c>
      <c r="D12" s="6" t="inlineStr">
        <is>
          <t>P02</t>
        </is>
      </c>
      <c r="E12" s="6" t="inlineStr">
        <is>
          <t>1 hour</t>
        </is>
      </c>
      <c r="F12" s="6" t="inlineStr">
        <is>
          <t>Not started</t>
        </is>
      </c>
    </row>
    <row r="13">
      <c r="A13" s="7" t="inlineStr">
        <is>
          <t>P04</t>
        </is>
      </c>
      <c r="B13" s="7" t="inlineStr">
        <is>
          <t>Set up development computer</t>
        </is>
      </c>
      <c r="C13" s="7" t="inlineStr">
        <is>
          <t>Install Thonny. Download the correct MicroPython UF2 for Pico W. Connect using a USB data cable; hold BOOTSEL while plugging in, then copy the UF2 file if needed.</t>
        </is>
      </c>
      <c r="D13" s="7" t="inlineStr">
        <is>
          <t>P03</t>
        </is>
      </c>
      <c r="E13" s="7" t="inlineStr">
        <is>
          <t>1–2 hours</t>
        </is>
      </c>
      <c r="F13" s="7" t="inlineStr">
        <is>
          <t>Not started</t>
        </is>
      </c>
    </row>
    <row r="14">
      <c r="A14" s="6" t="inlineStr">
        <is>
          <t>P05</t>
        </is>
      </c>
      <c r="B14" s="6" t="inlineStr">
        <is>
          <t>First Pico test</t>
        </is>
      </c>
      <c r="C14" s="6" t="inlineStr">
        <is>
          <t>In Thonny, select MicroPython for Pico. Run print('Hello robot'). Save a simple program to the Pico as main.py and confirm it runs after power cycling.</t>
        </is>
      </c>
      <c r="D14" s="6" t="inlineStr">
        <is>
          <t>P04</t>
        </is>
      </c>
      <c r="E14" s="6" t="inlineStr">
        <is>
          <t>1–2 hours</t>
        </is>
      </c>
      <c r="F14" s="6" t="inlineStr">
        <is>
          <t>Not started</t>
        </is>
      </c>
    </row>
    <row r="15">
      <c r="A15" s="7" t="inlineStr">
        <is>
          <t>P06</t>
        </is>
      </c>
      <c r="B15" s="7" t="inlineStr">
        <is>
          <t>Test colour display</t>
        </is>
      </c>
      <c r="C15" s="7" t="inlineStr">
        <is>
          <t>Follow the display manufacturer's examples and library for the exact display model. Display a simple face and two eyes before installing it in the shell.</t>
        </is>
      </c>
      <c r="D15" s="7" t="inlineStr">
        <is>
          <t>P05</t>
        </is>
      </c>
      <c r="E15" s="7" t="inlineStr">
        <is>
          <t>2–4 hours</t>
        </is>
      </c>
      <c r="F15" s="7" t="inlineStr">
        <is>
          <t>Not started</t>
        </is>
      </c>
    </row>
    <row r="16">
      <c r="A16" s="6" t="inlineStr">
        <is>
          <t>P07</t>
        </is>
      </c>
      <c r="B16" s="6" t="inlineStr">
        <is>
          <t>Test one motor channel</t>
        </is>
      </c>
      <c r="C16" s="6" t="inlineStr">
        <is>
          <t>Keep wheels off the ground. Wire one motor through its driver, use a low speed, test forward/reverse, then stop. Never connect a motor directly to Pico GPIO.</t>
        </is>
      </c>
      <c r="D16" s="6" t="inlineStr">
        <is>
          <t>P02, P05</t>
        </is>
      </c>
      <c r="E16" s="6" t="inlineStr">
        <is>
          <t>2–3 hours</t>
        </is>
      </c>
      <c r="F16" s="6" t="inlineStr">
        <is>
          <t>Not started</t>
        </is>
      </c>
    </row>
    <row r="17">
      <c r="A17" s="7" t="inlineStr">
        <is>
          <t>P08</t>
        </is>
      </c>
      <c r="B17" s="7" t="inlineStr">
        <is>
          <t>Test all four motors</t>
        </is>
      </c>
      <c r="C17" s="7" t="inlineStr">
        <is>
          <t>Repeat for all channels. Check motor current, driver temperature, direction and whether the Pico resets when motors start. Use suitable motor power and common ground as required by the circuit.</t>
        </is>
      </c>
      <c r="D17" s="7" t="inlineStr">
        <is>
          <t>P07</t>
        </is>
      </c>
      <c r="E17" s="7" t="inlineStr">
        <is>
          <t>2–4 hours</t>
        </is>
      </c>
      <c r="F17" s="7" t="inlineStr">
        <is>
          <t>Not started</t>
        </is>
      </c>
    </row>
    <row r="18">
      <c r="A18" s="6" t="inlineStr">
        <is>
          <t>P09</t>
        </is>
      </c>
      <c r="B18" s="6" t="inlineStr">
        <is>
          <t>Build base chassis</t>
        </is>
      </c>
      <c r="C18" s="6" t="inlineStr">
        <is>
          <t>Print or make a simple base plate first. Fit four motor mounts underneath, with wheel clearance. Add screw holes and removable electronics/battery mounts.</t>
        </is>
      </c>
      <c r="D18" s="6" t="inlineStr">
        <is>
          <t>P01, P08</t>
        </is>
      </c>
      <c r="E18" s="6" t="inlineStr">
        <is>
          <t>4–8 hours</t>
        </is>
      </c>
      <c r="F18" s="6" t="inlineStr">
        <is>
          <t>Not started</t>
        </is>
      </c>
    </row>
    <row r="19">
      <c r="A19" s="7" t="inlineStr">
        <is>
          <t>P10</t>
        </is>
      </c>
      <c r="B19" s="7" t="inlineStr">
        <is>
          <t>Install battery and wiring</t>
        </is>
      </c>
      <c r="C19" s="7" t="inlineStr">
        <is>
          <t>Secure battery so it cannot move. Keep motor wiring away from wheels. Use a suitable regulated supply for Pico/display and a safe, correctly rated battery arrangement.</t>
        </is>
      </c>
      <c r="D19" s="7" t="inlineStr">
        <is>
          <t>P08, P09</t>
        </is>
      </c>
      <c r="E19" s="7" t="inlineStr">
        <is>
          <t>2–4 hours</t>
        </is>
      </c>
      <c r="F19" s="7" t="inlineStr">
        <is>
          <t>Not started</t>
        </is>
      </c>
    </row>
    <row r="20">
      <c r="A20" s="6" t="inlineStr">
        <is>
          <t>P11</t>
        </is>
      </c>
      <c r="B20" s="6" t="inlineStr">
        <is>
          <t>Add obstacle sensor</t>
        </is>
      </c>
      <c r="C20" s="6" t="inlineStr">
        <is>
          <t>Connect the distance sensor using its datasheet and a compatible logic voltage. Test readings while stationary before adding automatic reactions.</t>
        </is>
      </c>
      <c r="D20" s="6" t="inlineStr">
        <is>
          <t>P05</t>
        </is>
      </c>
      <c r="E20" s="6" t="inlineStr">
        <is>
          <t>2–3 hours</t>
        </is>
      </c>
      <c r="F20" s="6" t="inlineStr">
        <is>
          <t>Not started</t>
        </is>
      </c>
    </row>
    <row r="21">
      <c r="A21" s="7" t="inlineStr">
        <is>
          <t>P12</t>
        </is>
      </c>
      <c r="B21" s="7" t="inlineStr">
        <is>
          <t>Add camera-mount servo</t>
        </is>
      </c>
      <c r="C21" s="7" t="inlineStr">
        <is>
          <t>Power the servo from an appropriate supply, not directly from a Pico GPIO. Connect signal and ground correctly; test limited angles before fitting the camera mount.</t>
        </is>
      </c>
      <c r="D21" s="7" t="inlineStr">
        <is>
          <t>P05, P10</t>
        </is>
      </c>
      <c r="E21" s="7" t="inlineStr">
        <is>
          <t>2–3 hours</t>
        </is>
      </c>
      <c r="F21" s="7" t="inlineStr">
        <is>
          <t>Not started</t>
        </is>
      </c>
    </row>
    <row r="22">
      <c r="A22" s="6" t="inlineStr">
        <is>
          <t>P13</t>
        </is>
      </c>
      <c r="B22" s="6" t="inlineStr">
        <is>
          <t>Build phone-app control</t>
        </is>
      </c>
      <c r="C22" s="6" t="inlineStr">
        <is>
          <t>Use Pico W Wi-Fi for a simple local web page with Forward, Reverse, Left, Right and Stop. Add a timeout so movement stops if commands stop arriving. Use only on a trusted local network.</t>
        </is>
      </c>
      <c r="D22" s="6" t="inlineStr">
        <is>
          <t>P08</t>
        </is>
      </c>
      <c r="E22" s="6" t="inlineStr">
        <is>
          <t>4–8 hours</t>
        </is>
      </c>
      <c r="F22" s="6" t="inlineStr">
        <is>
          <t>Not started</t>
        </is>
      </c>
    </row>
    <row r="23">
      <c r="A23" s="7" t="inlineStr">
        <is>
          <t>P14</t>
        </is>
      </c>
      <c r="B23" s="7" t="inlineStr">
        <is>
          <t>Combine software modules</t>
        </is>
      </c>
      <c r="C23" s="7" t="inlineStr">
        <is>
          <t>Integrate motor, display, sensor, servo and remote-control modules. Keep code separated into files; test each module individually before integration.</t>
        </is>
      </c>
      <c r="D23" s="7" t="inlineStr">
        <is>
          <t>P06, P08, P11, P12, P13</t>
        </is>
      </c>
      <c r="E23" s="7" t="inlineStr">
        <is>
          <t>4–8 hours</t>
        </is>
      </c>
      <c r="F23" s="7" t="inlineStr">
        <is>
          <t>Not started</t>
        </is>
      </c>
    </row>
    <row r="24">
      <c r="A24" s="6" t="inlineStr">
        <is>
          <t>P15</t>
        </is>
      </c>
      <c r="B24" s="6" t="inlineStr">
        <is>
          <t>Safety and driving tests</t>
        </is>
      </c>
      <c r="C24" s="6" t="inlineStr">
        <is>
          <t>First test with wheels raised. Then test slowly in an open area. Confirm Stop works, obstacle response is predictable, wiring is secure and motors/drivers do not overheat.</t>
        </is>
      </c>
      <c r="D24" s="6" t="inlineStr">
        <is>
          <t>P14</t>
        </is>
      </c>
      <c r="E24" s="6" t="inlineStr">
        <is>
          <t>2–4 hours</t>
        </is>
      </c>
      <c r="F24" s="6" t="inlineStr">
        <is>
          <t>Not started</t>
        </is>
      </c>
    </row>
    <row r="25">
      <c r="A25" s="7" t="inlineStr">
        <is>
          <t>P16</t>
        </is>
      </c>
      <c r="B25" s="7" t="inlineStr">
        <is>
          <t>Final shell and appearance</t>
        </is>
      </c>
      <c r="C25" s="7" t="inlineStr">
        <is>
          <t>After the prototype works, print the rounded-square shell with display opening, ventilation, removable cover, four wheel cut-outs and camera-mount fixing points.</t>
        </is>
      </c>
      <c r="D25" s="7" t="inlineStr">
        <is>
          <t>P15</t>
        </is>
      </c>
      <c r="E25" s="7" t="inlineStr">
        <is>
          <t>4–10 hours</t>
        </is>
      </c>
      <c r="F25" s="7" t="inlineStr">
        <is>
          <t>Not started</t>
        </is>
      </c>
    </row>
    <row r="26">
      <c r="A26" s="6" t="inlineStr">
        <is>
          <t>P17</t>
        </is>
      </c>
      <c r="B26" s="6" t="inlineStr">
        <is>
          <t>Optional track conversion</t>
        </is>
      </c>
      <c r="C26" s="6" t="inlineStr">
        <is>
          <t>Only after wheeled version is reliable: design matching drive sprockets/idlers, belt tensioning and brackets. Track kits must match the chassis and motor arrangement.</t>
        </is>
      </c>
      <c r="D26" s="6" t="inlineStr">
        <is>
          <t>P16</t>
        </is>
      </c>
      <c r="E26" s="6" t="inlineStr">
        <is>
          <t>Variable</t>
        </is>
      </c>
      <c r="F26" s="6" t="inlineStr">
        <is>
          <t>Not started</t>
        </is>
      </c>
    </row>
    <row r="27">
      <c r="A27" s="7" t="inlineStr">
        <is>
          <t>P18</t>
        </is>
      </c>
      <c r="B27" s="7" t="inlineStr">
        <is>
          <t>Optional live video</t>
        </is>
      </c>
      <c r="C27" s="7" t="inlineStr">
        <is>
          <t>Pico W is not suited to full conventional camera streaming by itself. Add a separate camera-capable computer/module and camera if live video is required.</t>
        </is>
      </c>
      <c r="D27" s="7" t="inlineStr">
        <is>
          <t>P15</t>
        </is>
      </c>
      <c r="E27" s="7" t="inlineStr">
        <is>
          <t>Variable</t>
        </is>
      </c>
      <c r="F27" s="7" t="inlineStr">
        <is>
          <t>Not started</t>
        </is>
      </c>
    </row>
  </sheetData>
  <autoFilter ref="A9:F27"/>
  <mergeCells count="4">
    <mergeCell ref="A2:F2"/>
    <mergeCell ref="B4:F5"/>
    <mergeCell ref="A1:F1"/>
    <mergeCell ref="B7:F7"/>
  </mergeCells>
  <conditionalFormatting sqref="F10:F27">
    <cfRule type="expression" priority="1" dxfId="0">
      <formula>F10="Complete"</formula>
    </cfRule>
  </conditionalFormatting>
  <dataValidations count="1">
    <dataValidation sqref="F10:F27" showDropDown="0" showInputMessage="0" showErrorMessage="0" allowBlank="0" type="list">
      <formula1>"Not started,In progress,Blocked,Complete"</formula1>
    </dataValidation>
  </dataValidation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16" customWidth="1" min="4" max="4"/>
    <col width="17" customWidth="1" min="5" max="5"/>
    <col width="17" customWidth="1" min="6" max="6"/>
    <col width="58" customWidth="1" min="7" max="7"/>
    <col width="21" customWidth="1" min="8" max="8"/>
    <col width="13" customWidth="1" min="9" max="9"/>
    <col width="13" customWidth="1" min="10" max="10"/>
  </cols>
  <sheetData>
    <row r="1" ht="32" customHeight="1">
      <c r="A1" s="1" t="inlineStr">
        <is>
          <t>PARTS SUPPLY &amp; COSTS</t>
        </is>
      </c>
    </row>
    <row r="2" ht="24" customHeight="1">
      <c r="A2" s="2" t="inlineStr">
        <is>
          <t>AUD estimates for planning only. Confirm exact model, electrical compatibility, shipping and stock before ordering.</t>
        </is>
      </c>
    </row>
    <row r="4" ht="30" customHeight="1">
      <c r="A4" s="5" t="inlineStr">
        <is>
          <t>ID</t>
        </is>
      </c>
      <c r="B4" s="5" t="inlineStr">
        <is>
          <t>Part / quantity</t>
        </is>
      </c>
      <c r="C4" s="5" t="inlineStr">
        <is>
          <t>What to check</t>
        </is>
      </c>
      <c r="D4" s="5" t="inlineStr">
        <is>
          <t>Low estimate (AUD)</t>
        </is>
      </c>
      <c r="E4" s="5" t="inlineStr">
        <is>
          <t>High estimate (AUD)</t>
        </is>
      </c>
      <c r="F4" s="5" t="inlineStr">
        <is>
          <t>Budget used (AUD)</t>
        </is>
      </c>
      <c r="G4" s="5" t="inlineStr">
        <is>
          <t>Supplier / search link</t>
        </is>
      </c>
      <c r="H4" s="5" t="inlineStr">
        <is>
          <t>Essential?</t>
        </is>
      </c>
      <c r="I4" s="5" t="inlineStr">
        <is>
          <t>Ordered?</t>
        </is>
      </c>
      <c r="J4" s="5" t="inlineStr">
        <is>
          <t>Received?</t>
        </is>
      </c>
    </row>
    <row r="5">
      <c r="A5" s="7" t="inlineStr">
        <is>
          <t>E01</t>
        </is>
      </c>
      <c r="B5" s="7" t="inlineStr">
        <is>
          <t>Raspberry Pi Pico W × 1</t>
        </is>
      </c>
      <c r="C5" s="7" t="inlineStr">
        <is>
          <t>Wi-Fi model; headers may need soldering depending on variant.</t>
        </is>
      </c>
      <c r="D5" s="8" t="n">
        <v>9.5</v>
      </c>
      <c r="E5" s="8" t="n">
        <v>18</v>
      </c>
      <c r="F5" s="8">
        <f>D5</f>
        <v/>
      </c>
      <c r="G5" s="9" t="inlineStr">
        <is>
          <t>https://core-electronics.com.au/raspberry-pi-pico-w-wireless-wifi.html</t>
        </is>
      </c>
      <c r="H5" s="7" t="inlineStr">
        <is>
          <t>Yes</t>
        </is>
      </c>
      <c r="I5" s="7" t="inlineStr">
        <is>
          <t>No</t>
        </is>
      </c>
      <c r="J5" s="7" t="inlineStr">
        <is>
          <t>No</t>
        </is>
      </c>
    </row>
    <row r="6">
      <c r="A6" s="6" t="inlineStr">
        <is>
          <t>E02</t>
        </is>
      </c>
      <c r="B6" s="6" t="inlineStr">
        <is>
          <t>Pico Display Pack 2.0 × 1</t>
        </is>
      </c>
      <c r="C6" s="6" t="inlineStr">
        <is>
          <t>Confirm exact model and library; approx 56 × 35 mm board footprint.</t>
        </is>
      </c>
      <c r="D6" s="10" t="n">
        <v>30</v>
      </c>
      <c r="E6" s="10" t="n">
        <v>45</v>
      </c>
      <c r="F6" s="10">
        <f>D6</f>
        <v/>
      </c>
      <c r="G6" s="11" t="inlineStr">
        <is>
          <t>https://core-electronics.com.au/pico-display-pack-2-0.html</t>
        </is>
      </c>
      <c r="H6" s="6" t="inlineStr">
        <is>
          <t>Yes</t>
        </is>
      </c>
      <c r="I6" s="6" t="inlineStr">
        <is>
          <t>No</t>
        </is>
      </c>
      <c r="J6" s="6" t="inlineStr">
        <is>
          <t>No</t>
        </is>
      </c>
    </row>
    <row r="7">
      <c r="A7" s="7" t="inlineStr">
        <is>
          <t>E03</t>
        </is>
      </c>
      <c r="B7" s="7" t="inlineStr">
        <is>
          <t>Dual-channel motor driver boards × 2 (provisional)</t>
        </is>
      </c>
      <c r="C7" s="7" t="inlineStr">
        <is>
          <t>Choose only after confirming motor voltage and stall current; one board may drive two motors if rated appropriately.</t>
        </is>
      </c>
      <c r="D7" s="8" t="n">
        <v>25</v>
      </c>
      <c r="E7" s="8" t="n">
        <v>55</v>
      </c>
      <c r="F7" s="8">
        <f>D7</f>
        <v/>
      </c>
      <c r="G7" s="9" t="inlineStr">
        <is>
          <t>https://www.robotgear.com.au/Product.aspx/Details/5513-SparkFun-Motor-Driver-Dual-TB6612FNG-with-Headers</t>
        </is>
      </c>
      <c r="H7" s="7" t="inlineStr">
        <is>
          <t>Yes</t>
        </is>
      </c>
      <c r="I7" s="7" t="inlineStr">
        <is>
          <t>No</t>
        </is>
      </c>
      <c r="J7" s="7" t="inlineStr">
        <is>
          <t>No</t>
        </is>
      </c>
    </row>
    <row r="8">
      <c r="A8" s="6" t="inlineStr">
        <is>
          <t>E04</t>
        </is>
      </c>
      <c r="B8" s="6" t="inlineStr">
        <is>
          <t>Geared DC motors × 4</t>
        </is>
      </c>
      <c r="C8" s="6" t="inlineStr">
        <is>
          <t>Matching voltage, shaft, speed/torque and stall current. Avoid choosing by appearance alone.</t>
        </is>
      </c>
      <c r="D8" s="10" t="n">
        <v>30</v>
      </c>
      <c r="E8" s="10" t="n">
        <v>60</v>
      </c>
      <c r="F8" s="10">
        <f>D8</f>
        <v/>
      </c>
      <c r="G8" s="11" t="inlineStr">
        <is>
          <t>https://www.amazon.com.au/s?k=N20+6V+geared+motor</t>
        </is>
      </c>
      <c r="H8" s="6" t="inlineStr">
        <is>
          <t>Yes</t>
        </is>
      </c>
      <c r="I8" s="6" t="inlineStr">
        <is>
          <t>No</t>
        </is>
      </c>
      <c r="J8" s="6" t="inlineStr">
        <is>
          <t>No</t>
        </is>
      </c>
    </row>
    <row r="9">
      <c r="A9" s="7" t="inlineStr">
        <is>
          <t>E05</t>
        </is>
      </c>
      <c r="B9" s="7" t="inlineStr">
        <is>
          <t>Wheels and hubs × 4</t>
        </is>
      </c>
      <c r="C9" s="7" t="inlineStr">
        <is>
          <t>Hub must fit exact motor shaft; confirm diameter and body clearance.</t>
        </is>
      </c>
      <c r="D9" s="8" t="n">
        <v>10</v>
      </c>
      <c r="E9" s="8" t="n">
        <v>25</v>
      </c>
      <c r="F9" s="8">
        <f>D9</f>
        <v/>
      </c>
      <c r="G9" s="9" t="inlineStr">
        <is>
          <t>https://www.amazon.com.au/s?k=small+robot+wheels+N20</t>
        </is>
      </c>
      <c r="H9" s="7" t="inlineStr">
        <is>
          <t>Yes</t>
        </is>
      </c>
      <c r="I9" s="7" t="inlineStr">
        <is>
          <t>No</t>
        </is>
      </c>
      <c r="J9" s="7" t="inlineStr">
        <is>
          <t>No</t>
        </is>
      </c>
    </row>
    <row r="10">
      <c r="A10" s="6" t="inlineStr">
        <is>
          <t>E06</t>
        </is>
      </c>
      <c r="B10" s="6" t="inlineStr">
        <is>
          <t>Battery pack/holder and power wiring × 1 set</t>
        </is>
      </c>
      <c r="C10" s="6" t="inlineStr">
        <is>
          <t>Voltage and current must suit motors and driver; separate regulated supply for logic may be needed.</t>
        </is>
      </c>
      <c r="D10" s="10" t="n">
        <v>20</v>
      </c>
      <c r="E10" s="10" t="n">
        <v>40</v>
      </c>
      <c r="F10" s="10">
        <f>D10</f>
        <v/>
      </c>
      <c r="G10" s="11" t="inlineStr">
        <is>
          <t>https://www.jaycar.com.au/search?text=battery+holder</t>
        </is>
      </c>
      <c r="H10" s="6" t="inlineStr">
        <is>
          <t>Yes</t>
        </is>
      </c>
      <c r="I10" s="6" t="inlineStr">
        <is>
          <t>No</t>
        </is>
      </c>
      <c r="J10" s="6" t="inlineStr">
        <is>
          <t>No</t>
        </is>
      </c>
    </row>
    <row r="11">
      <c r="A11" s="7" t="inlineStr">
        <is>
          <t>E07</t>
        </is>
      </c>
      <c r="B11" s="7" t="inlineStr">
        <is>
          <t>Distance sensor × 1</t>
        </is>
      </c>
      <c r="C11" s="7" t="inlineStr">
        <is>
          <t>VL53L0X or compatible module; check logic voltage and library.</t>
        </is>
      </c>
      <c r="D11" s="8" t="n">
        <v>10</v>
      </c>
      <c r="E11" s="8" t="n">
        <v>25</v>
      </c>
      <c r="F11" s="8">
        <f>D11</f>
        <v/>
      </c>
      <c r="G11" s="9" t="inlineStr">
        <is>
          <t>https://www.mlab.com.au/products/gravity-vl53l0x-tof-distance-sensor-30-2000mm</t>
        </is>
      </c>
      <c r="H11" s="7" t="inlineStr">
        <is>
          <t>Optional but recommended</t>
        </is>
      </c>
      <c r="I11" s="7" t="inlineStr">
        <is>
          <t>No</t>
        </is>
      </c>
      <c r="J11" s="7" t="inlineStr">
        <is>
          <t>No</t>
        </is>
      </c>
    </row>
    <row r="12">
      <c r="A12" s="6" t="inlineStr">
        <is>
          <t>E08</t>
        </is>
      </c>
      <c r="B12" s="6" t="inlineStr">
        <is>
          <t>Micro servo × 1</t>
        </is>
      </c>
      <c r="C12" s="6" t="inlineStr">
        <is>
          <t>For camera mount; use a suitable servo supply and shared ground as required.</t>
        </is>
      </c>
      <c r="D12" s="10" t="n">
        <v>5</v>
      </c>
      <c r="E12" s="10" t="n">
        <v>15</v>
      </c>
      <c r="F12" s="10">
        <f>D12</f>
        <v/>
      </c>
      <c r="G12" s="11" t="inlineStr">
        <is>
          <t>https://www.jaycar.com.au/search?text=servo</t>
        </is>
      </c>
      <c r="H12" s="6" t="inlineStr">
        <is>
          <t>Optional</t>
        </is>
      </c>
      <c r="I12" s="6" t="inlineStr">
        <is>
          <t>No</t>
        </is>
      </c>
      <c r="J12" s="6" t="inlineStr">
        <is>
          <t>No</t>
        </is>
      </c>
    </row>
    <row r="13">
      <c r="A13" s="7" t="inlineStr">
        <is>
          <t>E09</t>
        </is>
      </c>
      <c r="B13" s="7" t="inlineStr">
        <is>
          <t>USB data cable × 1</t>
        </is>
      </c>
      <c r="C13" s="7" t="inlineStr">
        <is>
          <t>Check the connector on the chosen Pico board; cable must support data, not charge-only.</t>
        </is>
      </c>
      <c r="D13" s="8" t="n">
        <v>5</v>
      </c>
      <c r="E13" s="8" t="n">
        <v>12</v>
      </c>
      <c r="F13" s="8">
        <f>D13</f>
        <v/>
      </c>
      <c r="G13" s="9" t="inlineStr">
        <is>
          <t>https://www.jaycar.com.au/search?text=USB+data+cable</t>
        </is>
      </c>
      <c r="H13" s="7" t="inlineStr">
        <is>
          <t>Yes</t>
        </is>
      </c>
      <c r="I13" s="7" t="inlineStr">
        <is>
          <t>No</t>
        </is>
      </c>
      <c r="J13" s="7" t="inlineStr">
        <is>
          <t>No</t>
        </is>
      </c>
    </row>
    <row r="14">
      <c r="A14" s="6" t="inlineStr">
        <is>
          <t>E10</t>
        </is>
      </c>
      <c r="B14" s="6" t="inlineStr">
        <is>
          <t>Jumper wires / prototyping board / connectors</t>
        </is>
      </c>
      <c r="C14" s="6" t="inlineStr">
        <is>
          <t>Include suitable wire gauge for motor current and insulated connectors.</t>
        </is>
      </c>
      <c r="D14" s="10" t="n">
        <v>10</v>
      </c>
      <c r="E14" s="10" t="n">
        <v>25</v>
      </c>
      <c r="F14" s="10">
        <f>D14</f>
        <v/>
      </c>
      <c r="G14" s="11" t="inlineStr">
        <is>
          <t>https://core-electronics.com.au/search.php?search_query=Raspberry+Pi+Pico+protoboard</t>
        </is>
      </c>
      <c r="H14" s="6" t="inlineStr">
        <is>
          <t>Yes</t>
        </is>
      </c>
      <c r="I14" s="6" t="inlineStr">
        <is>
          <t>No</t>
        </is>
      </c>
      <c r="J14" s="6" t="inlineStr">
        <is>
          <t>No</t>
        </is>
      </c>
    </row>
    <row r="15">
      <c r="A15" s="7" t="inlineStr">
        <is>
          <t>E11</t>
        </is>
      </c>
      <c r="B15" s="7" t="inlineStr">
        <is>
          <t>Screws, nuts, spacers, switch</t>
        </is>
      </c>
      <c r="C15" s="7" t="inlineStr">
        <is>
          <t>Allow for mounting boards, battery and shell.</t>
        </is>
      </c>
      <c r="D15" s="8" t="n">
        <v>8</v>
      </c>
      <c r="E15" s="8" t="n">
        <v>20</v>
      </c>
      <c r="F15" s="8">
        <f>D15</f>
        <v/>
      </c>
      <c r="G15" s="9" t="inlineStr">
        <is>
          <t>https://www.amazon.com.au/s?k=M3+screws+nuts+spacers+kit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No</t>
        </is>
      </c>
    </row>
    <row r="16">
      <c r="A16" s="6" t="inlineStr">
        <is>
          <t>M01</t>
        </is>
      </c>
      <c r="B16" s="6" t="inlineStr">
        <is>
          <t>3D printing / filament / base plate</t>
        </is>
      </c>
      <c r="C16" s="6" t="inlineStr">
        <is>
          <t>Prototype base first; final shell after measuring parts.</t>
        </is>
      </c>
      <c r="D16" s="10" t="n">
        <v>20</v>
      </c>
      <c r="E16" s="10" t="n">
        <v>50</v>
      </c>
      <c r="F16" s="10">
        <f>D16</f>
        <v/>
      </c>
      <c r="G16" s="11" t="inlineStr">
        <is>
          <t>https://www.printables.com/search/models?q=robot%20chassis</t>
        </is>
      </c>
      <c r="H16" s="6" t="inlineStr">
        <is>
          <t>Yes</t>
        </is>
      </c>
      <c r="I16" s="6" t="inlineStr">
        <is>
          <t>No</t>
        </is>
      </c>
      <c r="J16" s="6" t="inlineStr">
        <is>
          <t>No</t>
        </is>
      </c>
    </row>
    <row r="17">
      <c r="A17" s="7" t="inlineStr">
        <is>
          <t>O01</t>
        </is>
      </c>
      <c r="B17" s="7" t="inlineStr">
        <is>
          <t>Track kit / sprockets / idlers</t>
        </is>
      </c>
      <c r="C17" s="7" t="inlineStr">
        <is>
          <t>Optional future upgrade; must match chassis and motors.</t>
        </is>
      </c>
      <c r="D17" s="8" t="n">
        <v>20</v>
      </c>
      <c r="E17" s="8" t="n">
        <v>60</v>
      </c>
      <c r="F17" s="8">
        <f>D17</f>
        <v/>
      </c>
      <c r="G17" s="9" t="inlineStr">
        <is>
          <t>https://www.amazon.com.au/s?k=small+robot+tracked+chassis+kit</t>
        </is>
      </c>
      <c r="H17" s="7" t="inlineStr">
        <is>
          <t>Optional</t>
        </is>
      </c>
      <c r="I17" s="7" t="inlineStr">
        <is>
          <t>No</t>
        </is>
      </c>
      <c r="J17" s="7" t="inlineStr">
        <is>
          <t>No</t>
        </is>
      </c>
    </row>
    <row r="18">
      <c r="A18" s="6" t="inlineStr">
        <is>
          <t>O02</t>
        </is>
      </c>
      <c r="B18" s="6" t="inlineStr">
        <is>
          <t>Camera + separate camera-capable board</t>
        </is>
      </c>
      <c r="C18" s="6" t="inlineStr">
        <is>
          <t>Optional live video; Pico W alone is not recommended for normal camera streaming.</t>
        </is>
      </c>
      <c r="D18" s="10" t="n">
        <v>35</v>
      </c>
      <c r="E18" s="10" t="n">
        <v>100</v>
      </c>
      <c r="F18" s="10">
        <f>D18</f>
        <v/>
      </c>
      <c r="G18" s="11" t="inlineStr">
        <is>
          <t>https://core-electronics.com.au/search.php?search_query=Raspberry+Pi+camera</t>
        </is>
      </c>
      <c r="H18" s="6" t="inlineStr">
        <is>
          <t>Optional</t>
        </is>
      </c>
      <c r="I18" s="6" t="inlineStr">
        <is>
          <t>No</t>
        </is>
      </c>
      <c r="J18" s="6" t="inlineStr">
        <is>
          <t>No</t>
        </is>
      </c>
    </row>
    <row r="19">
      <c r="A19" s="7" t="inlineStr">
        <is>
          <t>O03</t>
        </is>
      </c>
      <c r="B19" s="7" t="inlineStr">
        <is>
          <t>Tools / solder / heat-shrink / spare parts</t>
        </is>
      </c>
      <c r="C19" s="7" t="inlineStr">
        <is>
          <t>Depends on tools already owned.</t>
        </is>
      </c>
      <c r="D19" s="8" t="n">
        <v>0</v>
      </c>
      <c r="E19" s="8" t="n">
        <v>40</v>
      </c>
      <c r="F19" s="8">
        <f>D19</f>
        <v/>
      </c>
      <c r="G19" s="9" t="inlineStr">
        <is>
          <t>https://www.jaycar.com.au/</t>
        </is>
      </c>
      <c r="H19" s="7" t="inlineStr">
        <is>
          <t>Maybe</t>
        </is>
      </c>
      <c r="I19" s="7" t="inlineStr">
        <is>
          <t>No</t>
        </is>
      </c>
      <c r="J19" s="7" t="inlineStr">
        <is>
          <t>No</t>
        </is>
      </c>
    </row>
    <row r="21">
      <c r="B21" s="12" t="inlineStr">
        <is>
          <t>Essential build estimate (excluding optional items)</t>
        </is>
      </c>
      <c r="C21" s="12" t="n"/>
      <c r="D21" s="13">
        <f>SUMIF(H5:H19,"Yes",D5:D19)</f>
        <v/>
      </c>
      <c r="E21" s="13">
        <f>SUMIF(H5:H19,"Yes",E5:E19)</f>
        <v/>
      </c>
      <c r="F21" s="13">
        <f>SUMIF(H5:H19,"Yes",F5:F19)</f>
        <v/>
      </c>
    </row>
    <row r="22">
      <c r="B22" s="12" t="inlineStr">
        <is>
          <t>All items including optional upgrades</t>
        </is>
      </c>
      <c r="C22" s="12" t="n"/>
      <c r="D22" s="13">
        <f>SUM(D5:D19)</f>
        <v/>
      </c>
      <c r="E22" s="13">
        <f>SUM(E5:E19)</f>
        <v/>
      </c>
      <c r="F22" s="13">
        <f>SUM(F5:F19)</f>
        <v/>
      </c>
    </row>
  </sheetData>
  <autoFilter ref="A4:J19"/>
  <mergeCells count="2">
    <mergeCell ref="A2:F2"/>
    <mergeCell ref="A1:F1"/>
  </mergeCells>
  <dataValidations count="1">
    <dataValidation sqref="I5:J19" showDropDown="0" showInputMessage="0" showErrorMessage="0" allowBlank="0" type="list">
      <formula1>"No,Yes"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7" customWidth="1" min="3" max="3"/>
    <col width="68" customWidth="1" min="4" max="4"/>
    <col width="52" customWidth="1" min="5" max="5"/>
    <col width="56" customWidth="1" min="6" max="6"/>
    <col width="16" customWidth="1" min="7" max="7"/>
  </cols>
  <sheetData>
    <row r="1" ht="32" customHeight="1">
      <c r="A1" s="1" t="inlineStr">
        <is>
          <t>SOFTWARE DEVELOPMENT PLAN</t>
        </is>
      </c>
    </row>
    <row r="2" ht="24" customHeight="1">
      <c r="A2" s="2" t="inlineStr">
        <is>
          <t>Build each feature independently in MicroPython, then integrate. Pin numbers depend on the final display and driver.</t>
        </is>
      </c>
    </row>
    <row r="4" ht="30" customHeight="1">
      <c r="A4" s="5" t="inlineStr">
        <is>
          <t>Order</t>
        </is>
      </c>
      <c r="B4" s="5" t="inlineStr">
        <is>
          <t>Module / file</t>
        </is>
      </c>
      <c r="C4" s="5" t="inlineStr">
        <is>
          <t>Goal</t>
        </is>
      </c>
      <c r="D4" s="5" t="inlineStr">
        <is>
          <t>Development instructions</t>
        </is>
      </c>
      <c r="E4" s="5" t="inlineStr">
        <is>
          <t>Test / acceptance criteria</t>
        </is>
      </c>
      <c r="F4" s="5" t="inlineStr">
        <is>
          <t>Useful link</t>
        </is>
      </c>
      <c r="G4" s="5" t="inlineStr">
        <is>
          <t>Status</t>
        </is>
      </c>
    </row>
    <row r="5">
      <c r="A5" s="7" t="n">
        <v>1</v>
      </c>
      <c r="B5" s="7" t="inlineStr">
        <is>
          <t>setup_notes.md</t>
        </is>
      </c>
      <c r="C5" s="7" t="inlineStr">
        <is>
          <t>Record exact hardware and pins</t>
        </is>
      </c>
      <c r="D5" s="7" t="inlineStr">
        <is>
          <t>Write down Pico model, display model, driver model, motor voltage/current, power rails, I2C/SPI pins and library versions. Do not guess pin mappings.</t>
        </is>
      </c>
      <c r="E5" s="7" t="inlineStr">
        <is>
          <t>A wiring map exists before full assembly.</t>
        </is>
      </c>
      <c r="F5" s="9" t="inlineStr">
        <is>
          <t>https://www.raspberrypi.com/documentation/microcontrollers/micropython.html</t>
        </is>
      </c>
      <c r="G5" s="7" t="inlineStr">
        <is>
          <t>Not started</t>
        </is>
      </c>
    </row>
    <row r="6">
      <c r="A6" s="6" t="n">
        <v>2</v>
      </c>
      <c r="B6" s="6" t="inlineStr">
        <is>
          <t>main.py</t>
        </is>
      </c>
      <c r="C6" s="6" t="inlineStr">
        <is>
          <t>Startup and coordination</t>
        </is>
      </c>
      <c r="D6" s="6" t="inlineStr">
        <is>
          <t>Initialise modules; show startup face; keep main loop responsive; stop motors on errors or lost control commands.</t>
        </is>
      </c>
      <c r="E6" s="6" t="inlineStr">
        <is>
          <t>Robot starts predictably and defaults to stopped.</t>
        </is>
      </c>
      <c r="F6" s="11" t="inlineStr">
        <is>
          <t>https://thonny.org/</t>
        </is>
      </c>
      <c r="G6" s="6" t="inlineStr">
        <is>
          <t>Not started</t>
        </is>
      </c>
    </row>
    <row r="7">
      <c r="A7" s="7" t="n">
        <v>3</v>
      </c>
      <c r="B7" s="7" t="inlineStr">
        <is>
          <t>face.py</t>
        </is>
      </c>
      <c r="C7" s="7" t="inlineStr">
        <is>
          <t>Animated eyes</t>
        </is>
      </c>
      <c r="D7" s="7" t="inlineStr">
        <is>
          <t>Use the exact display library. Start with static eyes, then blinking and a few expressions. Keep display updates separate from motor-control timing.</t>
        </is>
      </c>
      <c r="E7" s="7" t="inlineStr">
        <is>
          <t>Face updates without freezing motor or safety logic.</t>
        </is>
      </c>
      <c r="F7" s="9" t="inlineStr">
        <is>
          <t>https://core-electronics.com.au/pico-display-pack-2-0.html</t>
        </is>
      </c>
      <c r="G7" s="7" t="inlineStr">
        <is>
          <t>Not started</t>
        </is>
      </c>
    </row>
    <row r="8">
      <c r="A8" s="6" t="n">
        <v>4</v>
      </c>
      <c r="B8" s="6" t="inlineStr">
        <is>
          <t>motors.py</t>
        </is>
      </c>
      <c r="C8" s="6" t="inlineStr">
        <is>
          <t>Drive and turn</t>
        </is>
      </c>
      <c r="D8" s="6" t="inlineStr">
        <is>
          <t>Implement stop(), forward(speed), reverse(speed), left(speed), right(speed). Limit speed range and test wheels off the ground. Use motor driver; never drive motors from GPIO directly.</t>
        </is>
      </c>
      <c r="E8" s="6" t="inlineStr">
        <is>
          <t>Each command does what it says; stop command works immediately.</t>
        </is>
      </c>
      <c r="F8" s="11" t="inlineStr">
        <is>
          <t>https://www.raspberrypi.com/documentation/microcontrollers/pico-series.html</t>
        </is>
      </c>
      <c r="G8" s="6" t="inlineStr">
        <is>
          <t>Not started</t>
        </is>
      </c>
    </row>
    <row r="9">
      <c r="A9" s="7" t="n">
        <v>5</v>
      </c>
      <c r="B9" s="7" t="inlineStr">
        <is>
          <t>sensor.py</t>
        </is>
      </c>
      <c r="C9" s="7" t="inlineStr">
        <is>
          <t>Obstacle distance</t>
        </is>
      </c>
      <c r="D9" s="7" t="inlineStr">
        <is>
          <t>Read sensor using its library and datasheet. Filter implausible readings and define a cautious stop distance. Test stationary before autonomous reactions.</t>
        </is>
      </c>
      <c r="E9" s="7" t="inlineStr">
        <is>
          <t>Valid distance readings; robot stops or refuses forward movement near an obstacle.</t>
        </is>
      </c>
      <c r="F9" s="9" t="inlineStr">
        <is>
          <t>https://www.mlab.com.au/products/gravity-vl53l0x-tof-distance-sensor-30-2000mm</t>
        </is>
      </c>
      <c r="G9" s="7" t="inlineStr">
        <is>
          <t>Not started</t>
        </is>
      </c>
    </row>
    <row r="10">
      <c r="A10" s="6" t="n">
        <v>6</v>
      </c>
      <c r="B10" s="6" t="inlineStr">
        <is>
          <t>camera_mount.py</t>
        </is>
      </c>
      <c r="C10" s="6" t="inlineStr">
        <is>
          <t>Servo movement</t>
        </is>
      </c>
      <c r="D10" s="6" t="inlineStr">
        <is>
          <t>Use PWM to command a limited angle range. Power servo from suitable supply, not a GPIO pin. Start with camera absent to avoid overloading mount.</t>
        </is>
      </c>
      <c r="E10" s="6" t="inlineStr">
        <is>
          <t>Mount moves smoothly without buzzing or hitting mechanical stops.</t>
        </is>
      </c>
      <c r="F10" s="11" t="inlineStr">
        <is>
          <t>https://www.raspberrypi.com/documentation/microcontrollers/micropython.html</t>
        </is>
      </c>
      <c r="G10" s="6" t="inlineStr">
        <is>
          <t>Not started</t>
        </is>
      </c>
    </row>
    <row r="11">
      <c r="A11" s="7" t="n">
        <v>7</v>
      </c>
      <c r="B11" s="7" t="inlineStr">
        <is>
          <t>remote.py</t>
        </is>
      </c>
      <c r="C11" s="7" t="inlineStr">
        <is>
          <t>Phone control over Wi-Fi</t>
        </is>
      </c>
      <c r="D11" s="7" t="inlineStr">
        <is>
          <t>Host a simple local control page or accept authenticated local commands. Add a command timeout/dead-man stop; do not expose the robot directly to the public internet.</t>
        </is>
      </c>
      <c r="E11" s="7" t="inlineStr">
        <is>
          <t>Phone can command movement on local network; loss of commands stops the robot.</t>
        </is>
      </c>
      <c r="F11" s="9" t="inlineStr">
        <is>
          <t>https://www.raspberrypi.com/documentation/microcontrollers/micropython.html</t>
        </is>
      </c>
      <c r="G11" s="7" t="inlineStr">
        <is>
          <t>Not started</t>
        </is>
      </c>
    </row>
    <row r="12">
      <c r="A12" s="6" t="n">
        <v>8</v>
      </c>
      <c r="B12" s="6" t="inlineStr">
        <is>
          <t>integration</t>
        </is>
      </c>
      <c r="C12" s="6" t="inlineStr">
        <is>
          <t>Combine features</t>
        </is>
      </c>
      <c r="D12" s="6" t="inlineStr">
        <is>
          <t>Test each module alone, then combine one at a time. Avoid long blocking delays; use timing that keeps the stop/safety loop responsive.</t>
        </is>
      </c>
      <c r="E12" s="6" t="inlineStr">
        <is>
          <t>Display, motors, sensor, servo and app control operate together.</t>
        </is>
      </c>
      <c r="F12" s="11" t="inlineStr">
        <is>
          <t>https://projects.raspberrypi.org/en/projects/introduction-to-the-pico</t>
        </is>
      </c>
      <c r="G12" s="6" t="inlineStr">
        <is>
          <t>Not started</t>
        </is>
      </c>
    </row>
    <row r="13">
      <c r="A13" s="7" t="n">
        <v>9</v>
      </c>
      <c r="B13" s="7" t="inlineStr">
        <is>
          <t>optional camera subsystem</t>
        </is>
      </c>
      <c r="C13" s="7" t="inlineStr">
        <is>
          <t>Live video</t>
        </is>
      </c>
      <c r="D13" s="7" t="inlineStr">
        <is>
          <t>Use a separate camera-capable computer/module if streaming video is required. Keep video processing separate from the Pico's motor control.</t>
        </is>
      </c>
      <c r="E13" s="7" t="inlineStr">
        <is>
          <t>Video works without interrupting motor stop/safety behavior.</t>
        </is>
      </c>
      <c r="F13" s="9" t="inlineStr">
        <is>
          <t>https://core-electronics.com.au/search.php?search_query=Raspberry+Pi+camera</t>
        </is>
      </c>
      <c r="G13" s="7" t="inlineStr">
        <is>
          <t>Not started</t>
        </is>
      </c>
    </row>
  </sheetData>
  <autoFilter ref="A4:G13"/>
  <mergeCells count="2">
    <mergeCell ref="A2:F2"/>
    <mergeCell ref="A1:F1"/>
  </mergeCells>
  <dataValidations count="1">
    <dataValidation sqref="G5:G13" showDropDown="0" showInputMessage="0" showErrorMessage="0" allowBlank="0" type="list">
      <formula1>"Not started,In progress,Blocked,Complete"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2" customWidth="1" min="3" max="3"/>
    <col width="34" customWidth="1" min="4" max="4"/>
    <col width="44" customWidth="1" min="5" max="5"/>
    <col width="40" customWidth="1" min="6" max="6"/>
    <col width="38" customWidth="1" min="7" max="7"/>
    <col width="15" customWidth="1" min="8" max="8"/>
  </cols>
  <sheetData>
    <row r="1" ht="32" customHeight="1">
      <c r="A1" s="1" t="inlineStr">
        <is>
          <t>WIRING NOTES &amp; TEST LOG</t>
        </is>
      </c>
    </row>
    <row r="2" ht="24" customHeight="1">
      <c r="A2" s="2" t="inlineStr">
        <is>
          <t>Fill in actual pins and results only after checking the specific component datasheets.</t>
        </is>
      </c>
    </row>
    <row r="4" ht="30" customHeight="1">
      <c r="A4" s="5" t="inlineStr">
        <is>
          <t>Subsystem</t>
        </is>
      </c>
      <c r="B4" s="5" t="inlineStr">
        <is>
          <t>Signal / connection</t>
        </is>
      </c>
      <c r="C4" s="5" t="inlineStr">
        <is>
          <t>Pico pin / board terminal</t>
        </is>
      </c>
      <c r="D4" s="5" t="inlineStr">
        <is>
          <t>Power source / voltage</t>
        </is>
      </c>
      <c r="E4" s="5" t="inlineStr">
        <is>
          <t>Test procedure</t>
        </is>
      </c>
      <c r="F4" s="5" t="inlineStr">
        <is>
          <t>Expected result</t>
        </is>
      </c>
      <c r="G4" s="5" t="inlineStr">
        <is>
          <t>Actual result / notes</t>
        </is>
      </c>
      <c r="H4" s="5" t="inlineStr">
        <is>
          <t>Pass?</t>
        </is>
      </c>
    </row>
    <row r="5">
      <c r="A5" s="7" t="inlineStr">
        <is>
          <t>Display</t>
        </is>
      </c>
      <c r="B5" s="7" t="inlineStr">
        <is>
          <t>SPI/I2C/control pins</t>
        </is>
      </c>
      <c r="C5" s="7" t="inlineStr">
        <is>
          <t>Fill from exact display documentation</t>
        </is>
      </c>
      <c r="D5" s="7" t="inlineStr">
        <is>
          <t>As specified by display board</t>
        </is>
      </c>
      <c r="E5" s="7" t="inlineStr">
        <is>
          <t>Run display demo before attaching motors</t>
        </is>
      </c>
      <c r="F5" s="7" t="inlineStr">
        <is>
          <t>Face renders without flicker or reset</t>
        </is>
      </c>
      <c r="G5" s="7" t="inlineStr"/>
      <c r="H5" s="7" t="inlineStr">
        <is>
          <t>Not tested</t>
        </is>
      </c>
    </row>
    <row r="6">
      <c r="A6" s="6" t="inlineStr">
        <is>
          <t>Motor driver A</t>
        </is>
      </c>
      <c r="B6" s="6" t="inlineStr">
        <is>
          <t>Control inputs and motor outputs</t>
        </is>
      </c>
      <c r="C6" s="6" t="inlineStr">
        <is>
          <t>Fill from driver datasheet and code</t>
        </is>
      </c>
      <c r="D6" s="6" t="inlineStr">
        <is>
          <t>Motor supply within driver/motor ratings</t>
        </is>
      </c>
      <c r="E6" s="6" t="inlineStr">
        <is>
          <t>Wheels raised; low speed; test forward/reverse/stop</t>
        </is>
      </c>
      <c r="F6" s="6" t="inlineStr">
        <is>
          <t>Motor responds correctly; no overheating</t>
        </is>
      </c>
      <c r="G6" s="6" t="inlineStr"/>
      <c r="H6" s="6" t="inlineStr">
        <is>
          <t>Not tested</t>
        </is>
      </c>
    </row>
    <row r="7">
      <c r="A7" s="7" t="inlineStr">
        <is>
          <t>Motor driver B</t>
        </is>
      </c>
      <c r="B7" s="7" t="inlineStr">
        <is>
          <t>Control inputs and motor outputs</t>
        </is>
      </c>
      <c r="C7" s="7" t="inlineStr">
        <is>
          <t>Fill from driver datasheet and code</t>
        </is>
      </c>
      <c r="D7" s="7" t="inlineStr">
        <is>
          <t>Motor supply within driver/motor ratings</t>
        </is>
      </c>
      <c r="E7" s="7" t="inlineStr">
        <is>
          <t>Test each motor individually</t>
        </is>
      </c>
      <c r="F7" s="7" t="inlineStr">
        <is>
          <t>All motors respond as expected</t>
        </is>
      </c>
      <c r="G7" s="7" t="inlineStr"/>
      <c r="H7" s="7" t="inlineStr">
        <is>
          <t>Not tested</t>
        </is>
      </c>
    </row>
    <row r="8">
      <c r="A8" s="6" t="inlineStr">
        <is>
          <t>Distance sensor</t>
        </is>
      </c>
      <c r="B8" s="6" t="inlineStr">
        <is>
          <t>SDA/SCL or required interface</t>
        </is>
      </c>
      <c r="C8" s="6" t="inlineStr">
        <is>
          <t>Fill from sensor documentation</t>
        </is>
      </c>
      <c r="D8" s="6" t="inlineStr">
        <is>
          <t>Check logic voltage compatibility</t>
        </is>
      </c>
      <c r="E8" s="6" t="inlineStr">
        <is>
          <t>Read several distances with robot stationary</t>
        </is>
      </c>
      <c r="F8" s="6" t="inlineStr">
        <is>
          <t>Stable plausible readings</t>
        </is>
      </c>
      <c r="G8" s="6" t="inlineStr"/>
      <c r="H8" s="6" t="inlineStr">
        <is>
          <t>Not tested</t>
        </is>
      </c>
    </row>
    <row r="9">
      <c r="A9" s="7" t="inlineStr">
        <is>
          <t>Servo</t>
        </is>
      </c>
      <c r="B9" s="7" t="inlineStr">
        <is>
          <t>PWM signal and ground</t>
        </is>
      </c>
      <c r="C9" s="7" t="inlineStr">
        <is>
          <t>Fill from chosen pin plan</t>
        </is>
      </c>
      <c r="D9" s="7" t="inlineStr">
        <is>
          <t>Suitable servo supply; not powered from GPIO</t>
        </is>
      </c>
      <c r="E9" s="7" t="inlineStr">
        <is>
          <t>Move through limited angles with mount unloaded</t>
        </is>
      </c>
      <c r="F9" s="7" t="inlineStr">
        <is>
          <t>Smooth movement; no excessive buzzing</t>
        </is>
      </c>
      <c r="G9" s="7" t="inlineStr"/>
      <c r="H9" s="7" t="inlineStr">
        <is>
          <t>Not tested</t>
        </is>
      </c>
    </row>
    <row r="10">
      <c r="A10" s="6" t="inlineStr">
        <is>
          <t>Pico power</t>
        </is>
      </c>
      <c r="B10" s="6" t="inlineStr">
        <is>
          <t>VSYS/USB/power input as designed</t>
        </is>
      </c>
      <c r="C10" s="6" t="inlineStr">
        <is>
          <t>Use official board docs</t>
        </is>
      </c>
      <c r="D10" s="6" t="inlineStr">
        <is>
          <t>Regulated supply within board limits</t>
        </is>
      </c>
      <c r="E10" s="6" t="inlineStr">
        <is>
          <t>Power-cycle and monitor stability</t>
        </is>
      </c>
      <c r="F10" s="6" t="inlineStr">
        <is>
          <t>Pico starts reliably</t>
        </is>
      </c>
      <c r="G10" s="6" t="inlineStr"/>
      <c r="H10" s="6" t="inlineStr">
        <is>
          <t>Not tested</t>
        </is>
      </c>
    </row>
    <row r="11">
      <c r="A11" s="7" t="inlineStr">
        <is>
          <t>Phone app</t>
        </is>
      </c>
      <c r="B11" s="7" t="inlineStr">
        <is>
          <t>Wi-Fi connection and commands</t>
        </is>
      </c>
      <c r="C11" s="7" t="inlineStr">
        <is>
          <t>Pico W wireless</t>
        </is>
      </c>
      <c r="D11" s="7" t="inlineStr">
        <is>
          <t>Local trusted Wi-Fi network</t>
        </is>
      </c>
      <c r="E11" s="7" t="inlineStr">
        <is>
          <t>Test each button and disconnect phone</t>
        </is>
      </c>
      <c r="F11" s="7" t="inlineStr">
        <is>
          <t>Stop timeout halts motion</t>
        </is>
      </c>
      <c r="G11" s="7" t="inlineStr"/>
      <c r="H11" s="7" t="inlineStr">
        <is>
          <t>Not tested</t>
        </is>
      </c>
    </row>
  </sheetData>
  <mergeCells count="2">
    <mergeCell ref="A2:F2"/>
    <mergeCell ref="A1:F1"/>
  </mergeCells>
  <dataValidations count="1">
    <dataValidation sqref="H5:H11" showDropDown="0" showInputMessage="0" showErrorMessage="0" allowBlank="0" type="list">
      <formula1>"Not tested,Pass,Fail,Retest"</formula1>
    </dataValidation>
  </dataValidation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2026-10-29T09:15:49Z</dcterms:created>
  <dcterms:modified xmlns:dcterms="http://purl.org/dc/terms/" xmlns:xsi="http://www.w3.org/2001/XMLSchema-instance" xsi:type="dcterms:W3CDTF">2026-10-29T09:15:49Z</dcterms:modified>
</cp:coreProperties>
</file>