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v2" sheetId="1" state="visible" r:id="rId1"/>
    <sheet xmlns:r="http://schemas.openxmlformats.org/officeDocument/2006/relationships" name="Project Plan" sheetId="2" state="visible" r:id="rId2"/>
    <sheet xmlns:r="http://schemas.openxmlformats.org/officeDocument/2006/relationships" name="Evolution Roadmap" sheetId="3" state="visible" r:id="rId3"/>
    <sheet xmlns:r="http://schemas.openxmlformats.org/officeDocument/2006/relationships" name="Parts &amp; Costs" sheetId="4" state="visible" r:id="rId4"/>
    <sheet xmlns:r="http://schemas.openxmlformats.org/officeDocument/2006/relationships" name="Software Plan" sheetId="5" state="visible" r:id="rId5"/>
    <sheet xmlns:r="http://schemas.openxmlformats.org/officeDocument/2006/relationships" name="Wiring &amp; Test Log" sheetId="6" state="visible" r:id="rId6"/>
    <sheet xmlns:r="http://schemas.openxmlformats.org/officeDocument/2006/relationships" name="Sandbox Results" sheetId="7" state="visible" r:id="rId7"/>
  </sheets>
  <definedNames>
    <definedName name="_xlnm._FilterDatabase" localSheetId="1" hidden="1">'Project Plan'!$A$9:$F$27</definedName>
    <definedName name="_xlnm._FilterDatabase" localSheetId="3" hidden="1">'Parts &amp; Costs'!$A$4:$J$19</definedName>
    <definedName name="_xlnm._FilterDatabase" localSheetId="4" hidden="1">'Software Plan'!$A$4:$G$13</definedName>
  </definedNames>
  <calcPr calcId="124519" fullCalcOnLoad="1"/>
</workbook>
</file>

<file path=xl/styles.xml><?xml version="1.0" encoding="utf-8"?>
<styleSheet xmlns="http://schemas.openxmlformats.org/spreadsheetml/2006/main">
  <numFmts count="1">
    <numFmt numFmtId="164" formatCode="&quot;$&quot;#,##0.00"/>
  </numFmts>
  <fonts count="10">
    <font>
      <name val="Calibri"/>
      <family val="2"/>
      <color theme="1"/>
      <sz val="11"/>
      <scheme val="minor"/>
    </font>
    <font>
      <name val="Aptos Display"/>
      <b val="1"/>
      <color rgb="00FFFFFF"/>
      <sz val="18"/>
    </font>
    <font>
      <i val="1"/>
      <color rgb="00666666"/>
      <sz val="10"/>
    </font>
    <font>
      <b val="1"/>
      <color rgb="0019465A"/>
    </font>
    <font>
      <b val="1"/>
      <color rgb="00FFFFFF"/>
    </font>
    <font>
      <name val="Calibri"/>
      <family val="2"/>
      <color theme="10"/>
      <sz val="12"/>
      <scheme val="minor"/>
    </font>
    <font>
      <b val="1"/>
      <color rgb="00FFFFFF"/>
      <sz val="18"/>
    </font>
    <font>
      <color rgb="00666666"/>
      <sz val="10"/>
    </font>
    <font>
      <b val="1"/>
      <color rgb="0019465A"/>
      <sz val="12"/>
    </font>
    <font>
      <b val="1"/>
    </font>
  </fonts>
  <fills count="6">
    <fill>
      <patternFill/>
    </fill>
    <fill>
      <patternFill patternType="gray125"/>
    </fill>
    <fill>
      <patternFill patternType="solid">
        <fgColor rgb="0019465A"/>
      </patternFill>
    </fill>
    <fill>
      <patternFill patternType="solid">
        <fgColor rgb="00F3F7F8"/>
      </patternFill>
    </fill>
    <fill>
      <patternFill patternType="solid">
        <fgColor rgb="00DDEBF0"/>
      </patternFill>
    </fill>
    <fill>
      <patternFill patternType="solid">
        <fgColor rgb="00FFF4E8"/>
      </patternFill>
    </fill>
  </fills>
  <borders count="4">
    <border>
      <left/>
      <right/>
      <top/>
      <bottom/>
      <diagonal/>
    </border>
    <border>
      <bottom style="thin">
        <color rgb="00D9E2E3"/>
      </bottom>
    </border>
    <border>
      <left style="thin">
        <color rgb="00C9D3D8"/>
      </left>
      <right style="thin">
        <color rgb="00C9D3D8"/>
      </right>
      <top style="thin">
        <color rgb="00C9D3D8"/>
      </top>
      <bottom style="thin">
        <color rgb="00C9D3D8"/>
      </bottom>
    </border>
    <border>
      <bottom style="medium">
        <color rgb="0019465A"/>
      </bottom>
    </border>
  </borders>
  <cellStyleXfs count="2">
    <xf numFmtId="0" fontId="0" fillId="0" borderId="0"/>
    <xf numFmtId="0" fontId="5" fillId="0" borderId="0"/>
  </cellStyleXfs>
  <cellXfs count="26">
    <xf numFmtId="0" fontId="0" fillId="0" borderId="0" pivotButton="0" quotePrefix="0" xfId="0"/>
    <xf numFmtId="0" fontId="1" fillId="2"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0" fontId="5" fillId="0" borderId="1" applyAlignment="1" pivotButton="0" quotePrefix="0" xfId="1">
      <alignment vertical="top" wrapText="1"/>
    </xf>
    <xf numFmtId="164" fontId="0" fillId="3" borderId="1" applyAlignment="1" pivotButton="0" quotePrefix="0" xfId="0">
      <alignment vertical="top" wrapText="1"/>
    </xf>
    <xf numFmtId="0" fontId="5" fillId="3" borderId="1" applyAlignment="1" pivotButton="0" quotePrefix="0" xfId="1">
      <alignment vertical="top" wrapText="1"/>
    </xf>
    <xf numFmtId="0" fontId="3" fillId="4" borderId="0" pivotButton="0" quotePrefix="0" xfId="0"/>
    <xf numFmtId="164" fontId="3" fillId="4" borderId="0" pivotButton="0" quotePrefix="0" xfId="0"/>
    <xf numFmtId="0" fontId="6" fillId="2" borderId="0" pivotButton="0" quotePrefix="0" xfId="0"/>
    <xf numFmtId="0" fontId="7" fillId="0" borderId="0" pivotButton="0" quotePrefix="0" xfId="0"/>
    <xf numFmtId="0" fontId="4" fillId="2" borderId="2" applyAlignment="1" pivotButton="0" quotePrefix="0" xfId="0">
      <alignment vertical="center" wrapText="1"/>
    </xf>
    <xf numFmtId="0" fontId="0" fillId="3" borderId="2" applyAlignment="1" pivotButton="0" quotePrefix="0" xfId="0">
      <alignment vertical="top" wrapText="1"/>
    </xf>
    <xf numFmtId="0" fontId="0" fillId="0" borderId="2" applyAlignment="1" pivotButton="0" quotePrefix="0" xfId="0">
      <alignment vertical="top" wrapText="1"/>
    </xf>
    <xf numFmtId="0" fontId="0" fillId="5" borderId="1" applyAlignment="1" pivotButton="0" quotePrefix="0" xfId="0">
      <alignment vertical="top" wrapText="1"/>
    </xf>
    <xf numFmtId="0" fontId="8" fillId="0" borderId="3" pivotButton="0" quotePrefix="0" xfId="0"/>
    <xf numFmtId="0" fontId="0" fillId="0" borderId="3" pivotButton="0" quotePrefix="0" xfId="0"/>
    <xf numFmtId="0" fontId="0" fillId="5" borderId="2" applyAlignment="1" pivotButton="0" quotePrefix="0" xfId="0">
      <alignment vertical="top" wrapText="1"/>
    </xf>
    <xf numFmtId="164" fontId="0" fillId="5" borderId="2" applyAlignment="1" pivotButton="0" quotePrefix="0" xfId="0">
      <alignment vertical="top" wrapText="1"/>
    </xf>
    <xf numFmtId="0" fontId="9" fillId="0" borderId="0" pivotButton="0" quotePrefix="0" xfId="0"/>
    <xf numFmtId="164" fontId="9" fillId="4" borderId="0" pivotButton="0" quotePrefix="0" xfId="0"/>
  </cellXfs>
  <cellStyles count="2">
    <cellStyle name="Normal" xfId="0" builtinId="0" hidden="0"/>
    <cellStyle name="Hyperlink" xfId="1" builtinId="8" hidden="0"/>
  </cellStyles>
  <dxfs count="1">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core-electronics.com.au/raspberry-pi-pico-w-wireless-wifi.html" TargetMode="External" Id="rId1"/><Relationship Type="http://schemas.openxmlformats.org/officeDocument/2006/relationships/hyperlink" Target="https://core-electronics.com.au/pico-display-pack-2-0.html" TargetMode="External" Id="rId2"/><Relationship Type="http://schemas.openxmlformats.org/officeDocument/2006/relationships/hyperlink" Target="https://www.robotgear.com.au/Product.aspx/Details/5513-SparkFun-Motor-Driver-Dual-TB6612FNG-with-Headers" TargetMode="External" Id="rId3"/><Relationship Type="http://schemas.openxmlformats.org/officeDocument/2006/relationships/hyperlink" Target="https://www.amazon.com.au/s?k=N20+6V+geared+motor" TargetMode="External" Id="rId4"/><Relationship Type="http://schemas.openxmlformats.org/officeDocument/2006/relationships/hyperlink" Target="https://www.amazon.com.au/s?k=small+robot+wheels+N20" TargetMode="External" Id="rId5"/><Relationship Type="http://schemas.openxmlformats.org/officeDocument/2006/relationships/hyperlink" Target="https://www.jaycar.com.au/search?text=battery+holder" TargetMode="External" Id="rId6"/><Relationship Type="http://schemas.openxmlformats.org/officeDocument/2006/relationships/hyperlink" Target="https://www.mlab.com.au/products/gravity-vl53l0x-tof-distance-sensor-30-2000mm" TargetMode="External" Id="rId7"/><Relationship Type="http://schemas.openxmlformats.org/officeDocument/2006/relationships/hyperlink" Target="https://www.jaycar.com.au/search?text=servo" TargetMode="External" Id="rId8"/><Relationship Type="http://schemas.openxmlformats.org/officeDocument/2006/relationships/hyperlink" Target="https://www.jaycar.com.au/search?text=USB+data+cable" TargetMode="External" Id="rId9"/><Relationship Type="http://schemas.openxmlformats.org/officeDocument/2006/relationships/hyperlink" Target="https://core-electronics.com.au/search.php?search_query=Raspberry+Pi+Pico+protoboard" TargetMode="External" Id="rId10"/><Relationship Type="http://schemas.openxmlformats.org/officeDocument/2006/relationships/hyperlink" Target="https://www.amazon.com.au/s?k=M3+screws+nuts+spacers+kit" TargetMode="External" Id="rId11"/><Relationship Type="http://schemas.openxmlformats.org/officeDocument/2006/relationships/hyperlink" Target="https://www.printables.com/search/models?q=robot%20chassis" TargetMode="External" Id="rId12"/><Relationship Type="http://schemas.openxmlformats.org/officeDocument/2006/relationships/hyperlink" Target="https://www.amazon.com.au/s?k=small+robot+tracked+chassis+kit" TargetMode="External" Id="rId13"/><Relationship Type="http://schemas.openxmlformats.org/officeDocument/2006/relationships/hyperlink" Target="https://core-electronics.com.au/search.php?search_query=Raspberry+Pi+camera" TargetMode="External" Id="rId14"/><Relationship Type="http://schemas.openxmlformats.org/officeDocument/2006/relationships/hyperlink" Target="https://www.jaycar.com.au/" TargetMode="External" Id="rId15"/></Relationships>
</file>

<file path=xl/worksheets/_rels/sheet5.xml.rels><Relationships xmlns="http://schemas.openxmlformats.org/package/2006/relationships"><Relationship Type="http://schemas.openxmlformats.org/officeDocument/2006/relationships/hyperlink" Target="https://www.raspberrypi.com/documentation/microcontrollers/micropython.html" TargetMode="External" Id="rId1"/><Relationship Type="http://schemas.openxmlformats.org/officeDocument/2006/relationships/hyperlink" Target="https://thonny.org/" TargetMode="External" Id="rId2"/><Relationship Type="http://schemas.openxmlformats.org/officeDocument/2006/relationships/hyperlink" Target="https://core-electronics.com.au/pico-display-pack-2-0.html" TargetMode="External" Id="rId3"/><Relationship Type="http://schemas.openxmlformats.org/officeDocument/2006/relationships/hyperlink" Target="https://www.raspberrypi.com/documentation/microcontrollers/pico-series.html" TargetMode="External" Id="rId4"/><Relationship Type="http://schemas.openxmlformats.org/officeDocument/2006/relationships/hyperlink" Target="https://www.mlab.com.au/products/gravity-vl53l0x-tof-distance-sensor-30-2000mm" TargetMode="External" Id="rId5"/><Relationship Type="http://schemas.openxmlformats.org/officeDocument/2006/relationships/hyperlink" Target="https://www.raspberrypi.com/documentation/microcontrollers/micropython.html" TargetMode="External" Id="rId6"/><Relationship Type="http://schemas.openxmlformats.org/officeDocument/2006/relationships/hyperlink" Target="https://www.raspberrypi.com/documentation/microcontrollers/micropython.html" TargetMode="External" Id="rId7"/><Relationship Type="http://schemas.openxmlformats.org/officeDocument/2006/relationships/hyperlink" Target="https://projects.raspberrypi.org/en/projects/introduction-to-the-pico" TargetMode="External" Id="rId8"/><Relationship Type="http://schemas.openxmlformats.org/officeDocument/2006/relationships/hyperlink" Target="https://core-electronics.com.au/search.php?search_query=Raspberry+Pi+camera" TargetMode="External" Id="rId9"/></Relationships>
</file>

<file path=xl/worksheets/sheet1.xml><?xml version="1.0" encoding="utf-8"?>
<worksheet xmlns="http://schemas.openxmlformats.org/spreadsheetml/2006/main">
  <sheetPr>
    <outlinePr summaryBelow="1" summaryRight="1"/>
    <pageSetUpPr/>
  </sheetPr>
  <dimension ref="A1:F22"/>
  <sheetViews>
    <sheetView workbookViewId="0">
      <pane ySplit="5" topLeftCell="A6" activePane="bottomLeft" state="frozen"/>
      <selection pane="bottomLeft" activeCell="A1" sqref="A1"/>
    </sheetView>
  </sheetViews>
  <sheetFormatPr baseColWidth="8" defaultRowHeight="15"/>
  <cols>
    <col width="10" customWidth="1" min="1" max="1"/>
    <col width="40" customWidth="1" min="2" max="2"/>
    <col width="80" customWidth="1" min="3" max="3"/>
    <col width="48" customWidth="1" min="4" max="4"/>
  </cols>
  <sheetData>
    <row r="1">
      <c r="A1" s="14" t="inlineStr">
        <is>
          <t>PLAN REVIEW AND ADAPTATIONS (v2)</t>
        </is>
      </c>
    </row>
    <row r="2">
      <c r="A2" s="15" t="inlineStr">
        <is>
          <t>Review of the original plan, adding a walking body, a hand and a voice. Orange rows on other sheets are new in v2.</t>
        </is>
      </c>
    </row>
    <row r="3">
      <c r="A3" s="3" t="inlineStr">
        <is>
          <t>How to use</t>
        </is>
      </c>
      <c r="B3" t="inlineStr">
        <is>
          <t>Try designs in sandbox/index.html first, check them with python sim/bench.py, then follow the stage tasks P19-P32 on Project Plan.</t>
        </is>
      </c>
    </row>
    <row r="5" ht="30" customHeight="1">
      <c r="A5" s="16" t="inlineStr">
        <is>
          <t>Type</t>
        </is>
      </c>
      <c r="B5" s="16" t="inlineStr">
        <is>
          <t>Topic</t>
        </is>
      </c>
      <c r="C5" s="16" t="inlineStr">
        <is>
          <t>Finding</t>
        </is>
      </c>
      <c r="D5" s="16" t="inlineStr">
        <is>
          <t>Change in v2</t>
        </is>
      </c>
    </row>
    <row r="6">
      <c r="A6" s="17" t="inlineStr">
        <is>
          <t>Keep</t>
        </is>
      </c>
      <c r="B6" s="17" t="inlineStr">
        <is>
          <t>Staged, test-each-module-first approach</t>
        </is>
      </c>
      <c r="C6" s="17" t="inlineStr">
        <is>
          <t>This is the right way to build robots. Every later stage in v2 follows the same rule: prove it in the sandbox, then on the bench, then on the floor.</t>
        </is>
      </c>
      <c r="D6" s="17" t="inlineStr">
        <is>
          <t>No change</t>
        </is>
      </c>
    </row>
    <row r="7">
      <c r="A7" s="18" t="inlineStr">
        <is>
          <t>Keep</t>
        </is>
      </c>
      <c r="B7" s="18" t="inlineStr">
        <is>
          <t>Safety rules (wheels raised, dead-man timeout, no motors on GPIO, trusted Wi-Fi only)</t>
        </is>
      </c>
      <c r="C7" s="18" t="inlineStr">
        <is>
          <t>These are correct and they matter more once the robot has legs and an arm. They are copied into every new stage.</t>
        </is>
      </c>
      <c r="D7" s="18" t="inlineStr">
        <is>
          <t>No change</t>
        </is>
      </c>
    </row>
    <row r="8">
      <c r="A8" s="17" t="inlineStr">
        <is>
          <t>Keep</t>
        </is>
      </c>
      <c r="B8" s="17" t="inlineStr">
        <is>
          <t>N20 1:298 motors with TB6612 drivers</t>
        </is>
      </c>
      <c r="C8" s="17" t="inlineStr">
        <is>
          <t>Physics bench: the 385 g Hatchling reaches 0.18 m/s and climbs a 35 degree ramp. Plenty of torque. The TB6612 (1.2 A per channel continuous) suits N20 stall currents.</t>
        </is>
      </c>
      <c r="D8" s="17" t="inlineStr">
        <is>
          <t>No change</t>
        </is>
      </c>
    </row>
    <row r="9">
      <c r="A9" s="18" t="inlineStr">
        <is>
          <t>Adapt</t>
        </is>
      </c>
      <c r="B9" s="18" t="inlineStr">
        <is>
          <t>Ground clearance limits steps to about 10 mm</t>
        </is>
      </c>
      <c r="C9" s="18" t="inlineStr">
        <is>
          <t>Physics bench: wheels mount 10 mm and the tracked version 15 mm (with 44 mm sprockets). Neither manages the 20 mm kerb goal. The belly hits the edge.</t>
        </is>
      </c>
      <c r="D9" s="18" t="inlineStr">
        <is>
          <t>Raise the floor of the shell by 5 to 8 mm, or use bigger wheels. Test again in sim/bench.py.</t>
        </is>
      </c>
    </row>
    <row r="10">
      <c r="A10" s="17" t="inlineStr">
        <is>
          <t>Adapt</t>
        </is>
      </c>
      <c r="B10" s="17" t="inlineStr">
        <is>
          <t>Choose N20 motors with hall encoders</t>
        </is>
      </c>
      <c r="C10" s="17" t="inlineStr">
        <is>
          <t>Encoders count wheel turns. The robot can then drive exact distances, which the digital twin and autonomous tasks need. They cost a few dollars more per motor.</t>
        </is>
      </c>
      <c r="D10" s="17" t="inlineStr">
        <is>
          <t>Change E04 to encoder N20s (6 extra Pico pins)</t>
        </is>
      </c>
    </row>
    <row r="11">
      <c r="A11" s="18" t="inlineStr">
        <is>
          <t>Adapt</t>
        </is>
      </c>
      <c r="B11" s="18" t="inlineStr">
        <is>
          <t>Plan the shell around two brains from day one</t>
        </is>
      </c>
      <c r="C11" s="18" t="inlineStr">
        <is>
          <t>Pico W is right for stage 1 (motors, face, sensor). Video, walking, speech and the hand all need a Linux board. A Pi Zero 2 W is 65 x 30 mm.</t>
        </is>
      </c>
      <c r="D11" s="18" t="inlineStr">
        <is>
          <t>Leave a 70 x 35 mm bay and a 5 V 3 A supply rail in the stage 1 shell</t>
        </is>
      </c>
    </row>
    <row r="12">
      <c r="A12" s="17" t="inlineStr">
        <is>
          <t>Adapt</t>
        </is>
      </c>
      <c r="B12" s="17" t="inlineStr">
        <is>
          <t>Power: move to a 2S (7.4 V) pack with a BMS before stage 3</t>
        </is>
      </c>
      <c r="C12" s="17" t="inlineStr">
        <is>
          <t>Bus servos (STS3215) need about 7.4 V. 4x AA NiMH at 4.8 V is fine for stage 1 only. Add a fuse, a switch and a 5 V buck converter for the Pi.</t>
        </is>
      </c>
      <c r="D12" s="17" t="inlineStr">
        <is>
          <t>New part U07 and U08; supervised charging in a LiPo bag</t>
        </is>
      </c>
    </row>
    <row r="13">
      <c r="A13" s="18" t="inlineStr">
        <is>
          <t>Adapt</t>
        </is>
      </c>
      <c r="B13" s="18" t="inlineStr">
        <is>
          <t>Walking: adopt the Open Duck Mini legs and policy, don't design new legs</t>
        </is>
      </c>
      <c r="C13" s="18" t="inlineStr">
        <is>
          <t>Open Duck Mini is open source (Apache-2.0), about 42 cm tall, uses a Pi Zero 2 W and already has a trained walking policy. Ten STS3215 servos will not fit in a 120 mm body: they need about a 170 mm body.</t>
        </is>
      </c>
      <c r="D13" s="18" t="inlineStr">
        <is>
          <t>Stage 3 = build the duck's legs and put the round robot shell, face and camera on top. Keep added mass under about 150 g. See sim/OPEN_DUCK.md</t>
        </is>
      </c>
    </row>
    <row r="14">
      <c r="A14" s="17" t="inlineStr">
        <is>
          <t>Adapt</t>
        </is>
      </c>
      <c r="B14" s="17" t="inlineStr">
        <is>
          <t>Walking runs on the Open Duck's own trained policy</t>
        </is>
      </c>
      <c r="C14" s="17" t="inlineStr">
        <is>
          <t>sim/open_duck_walk.py runs the Open Duck Mini's published policy in MuJoCo. It walked forward (0.096 m/s), turned (about 47 deg/s) and walked backwards for 21 s without falling. The sandbox plays that recorded gait on the robot's legs. The duck's hips attach about 21 cm up, so the robot shell replaces the duck's body with the hip motors inside it.</t>
        </is>
      </c>
      <c r="D14" s="17" t="inlineStr">
        <is>
          <t>Stage 3: shell replaces the duck's body; run python sim/open_duck_walk.py before building</t>
        </is>
      </c>
    </row>
    <row r="15">
      <c r="A15" s="18" t="inlineStr">
        <is>
          <t>Adapt</t>
        </is>
      </c>
      <c r="B15" s="18" t="inlineStr">
        <is>
          <t>Use one servo family for legs, arm and hand</t>
        </is>
      </c>
      <c r="C15" s="18" t="inlineStr">
        <is>
          <t>Feetech serial-bus servos (STS3215, SCS0009) share one 3-wire bus and one driver board, and report their angle. Open Duck, the LeRobot SO-101 arm and Pollen's Amazing Hand all use them.</t>
        </is>
      </c>
      <c r="D15" s="18" t="inlineStr">
        <is>
          <t>Standardise on Feetech bus servos for stages 3 to 5</t>
        </is>
      </c>
    </row>
    <row r="16">
      <c r="A16" s="17" t="inlineStr">
        <is>
          <t>Adapt</t>
        </is>
      </c>
      <c r="B16" s="17" t="inlineStr">
        <is>
          <t>Hand: start with a light 3-finger hand, not the full humanoid hand</t>
        </is>
      </c>
      <c r="C16" s="17" t="inlineStr">
        <is>
          <t>Pollen's Amazing Hand is about 400 g. The physics bench shows the 1.36 kg walker tips 37 degrees holding it out. A 45 g 3-finger tendon hand holds a 20 g block at 64% of shoulder stall with no tipping.</t>
        </is>
      </c>
      <c r="D16" s="17" t="inlineStr">
        <is>
          <t>Stage 4 = 3-finger hand. Try the Amazing Hand later on a bench-mounted arm</t>
        </is>
      </c>
    </row>
    <row r="17">
      <c r="A17" s="18" t="inlineStr">
        <is>
          <t>Adapt</t>
        </is>
      </c>
      <c r="B17" s="18" t="inlineStr">
        <is>
          <t>A walking robot must squat to pick things off the floor</t>
        </is>
      </c>
      <c r="C17" s="18" t="inlineStr">
        <is>
          <t>Sandbox: with a 17 cm arm mounted 26 cm up, the Helper only reaches the floor by squatting about 63 degrees at the knee. The bench shows STS3215 knees peak at 36% of stall in that squat, which is fine.</t>
        </is>
      </c>
      <c r="D17" s="18" t="inlineStr">
        <is>
          <t>Add a squat-and-reach behaviour (sandbox already does it)</t>
        </is>
      </c>
    </row>
    <row r="18">
      <c r="A18" s="17" t="inlineStr">
        <is>
          <t>Adapt</t>
        </is>
      </c>
      <c r="B18" s="17" t="inlineStr">
        <is>
          <t>Use Pollen Robotics' open-source Amazing Hand files</t>
        </is>
      </c>
      <c r="C18" s="17" t="inlineStr">
        <is>
          <t>Pollen publish the hand's print files (CC BY 4.0), servo code and a MuJoCo model (Apache 2.0). A copy is in third_party/pollen; python sim/amazing_hand.py runs their model through their named poses. Closed, the fingertips stop about 46 mm from the thumb, so tip-to-tip it can't pinch the 30 mm test blocks.</t>
        </is>
      </c>
      <c r="D18" s="17" t="inlineStr">
        <is>
          <t>Use their files as-is for the bench-mounted hand; test with 50 mm objects first</t>
        </is>
      </c>
    </row>
    <row r="19">
      <c r="A19" s="18" t="inlineStr">
        <is>
          <t>Adapt</t>
        </is>
      </c>
      <c r="B19" s="18" t="inlineStr">
        <is>
          <t>Stage 5 voice: start from Pollen's Reachy Mini conversation app</t>
        </is>
      </c>
      <c r="C19" s="18" t="inlineStr">
        <is>
          <t>Reachy Mini's SDK and conversation app are open source (Apache 2.0) and already connect a microphone, a speaker and a language model to a small robot.</t>
        </is>
      </c>
      <c r="D19" s="18" t="inlineStr">
        <is>
          <t>third_party/fetch_pollen.sh downloads it; adapt its voice loop for P30-P31</t>
        </is>
      </c>
    </row>
    <row r="20">
      <c r="A20" s="17" t="inlineStr">
        <is>
          <t>Adapt</t>
        </is>
      </c>
      <c r="B20" s="17" t="inlineStr">
        <is>
          <t>Software: write behaviours once, run them in the twin and on the robot</t>
        </is>
      </c>
      <c r="C20" s="17" t="inlineStr">
        <is>
          <t>Give motors, servos and sensors the same small interface in the sandbox, MuJoCo and the robot. Tested behaviour code can then move to hardware unchanged.</t>
        </is>
      </c>
      <c r="D20" s="17" t="inlineStr">
        <is>
          <t>New software row 10: hal.py</t>
        </is>
      </c>
    </row>
    <row r="21">
      <c r="A21" s="18" t="inlineStr">
        <is>
          <t>Fix</t>
        </is>
      </c>
      <c r="B21" s="18" t="inlineStr">
        <is>
          <t>P04 does not need to wait for parts (P03)</t>
        </is>
      </c>
      <c r="C21" s="18" t="inlineStr">
        <is>
          <t>The computer, Thonny and the sandbox can all be set up while parts ship.</t>
        </is>
      </c>
      <c r="D21" s="18" t="inlineStr">
        <is>
          <t>P04 dependency changed to None</t>
        </is>
      </c>
    </row>
    <row r="22">
      <c r="A22" s="17" t="inlineStr">
        <is>
          <t>Fix</t>
        </is>
      </c>
      <c r="B22" s="17" t="inlineStr">
        <is>
          <t>P18 live video now has a home</t>
        </is>
      </c>
      <c r="C22" s="17" t="inlineStr">
        <is>
          <t>Stage 2 adds the Pi Zero 2 W, which streams the camera. The Pico keeps doing motors and the face.</t>
        </is>
      </c>
      <c r="D22" s="17" t="inlineStr">
        <is>
          <t>P18 linked to stage 2 tasks</t>
        </is>
      </c>
    </row>
  </sheetData>
  <mergeCells count="3">
    <mergeCell ref="A2:F2"/>
    <mergeCell ref="A1:F1"/>
    <mergeCell ref="B3:F3"/>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F44"/>
  <sheetViews>
    <sheetView showGridLines="0" zoomScale="85" workbookViewId="0">
      <pane ySplit="9" topLeftCell="A10" activePane="bottomLeft" state="frozen"/>
      <selection pane="bottomLeft" activeCell="A1" sqref="A1"/>
    </sheetView>
  </sheetViews>
  <sheetFormatPr baseColWidth="8" defaultRowHeight="15"/>
  <cols>
    <col width="8" customWidth="1" min="1" max="1"/>
    <col width="27" customWidth="1" min="2" max="2"/>
    <col width="72" customWidth="1" min="3" max="3"/>
    <col width="22" customWidth="1" min="4" max="4"/>
    <col width="16" customWidth="1" min="5" max="5"/>
    <col width="16" customWidth="1" min="6" max="6"/>
  </cols>
  <sheetData>
    <row r="1" ht="32" customHeight="1">
      <c r="A1" s="1" t="inlineStr">
        <is>
          <t>ROBOT BUILD PROJECT PLAN</t>
        </is>
      </c>
    </row>
    <row r="2" ht="24" customHeight="1">
      <c r="A2" s="2" t="inlineStr">
        <is>
          <t>Rounded-square robot • Raspberry Pi Pico W • colour face • four wheels underneath • optional tracks later</t>
        </is>
      </c>
    </row>
    <row r="4">
      <c r="A4" s="3" t="inlineStr">
        <is>
          <t>Project goal</t>
        </is>
      </c>
      <c r="B4" s="4" t="inlineStr">
        <is>
          <t>Build a small rounded-square robot with a colour display for animated eyes, four powered wheels, a servo-operated camera mount, an obstacle sensor and phone-app control over Wi-Fi. Start with a wheeled prototype; add tracks and live camera video only after the basics work.</t>
        </is>
      </c>
    </row>
    <row r="5"/>
    <row r="7">
      <c r="A7" s="3" t="inlineStr">
        <is>
          <t>Planning budget (AUD)</t>
        </is>
      </c>
      <c r="B7" t="inlineStr">
        <is>
          <t>See Parts &amp; Costs tab; estimates only, verify current pricing and compatibility before buying.</t>
        </is>
      </c>
    </row>
    <row r="9" ht="30" customHeight="1">
      <c r="A9" s="5" t="inlineStr">
        <is>
          <t>ID</t>
        </is>
      </c>
      <c r="B9" s="5" t="inlineStr">
        <is>
          <t>Stage / task</t>
        </is>
      </c>
      <c r="C9" s="5" t="inlineStr">
        <is>
          <t>Instructions / deliverable</t>
        </is>
      </c>
      <c r="D9" s="5" t="inlineStr">
        <is>
          <t>Dependency</t>
        </is>
      </c>
      <c r="E9" s="5" t="inlineStr">
        <is>
          <t>Estimate</t>
        </is>
      </c>
      <c r="F9" s="5" t="inlineStr">
        <is>
          <t>Status</t>
        </is>
      </c>
    </row>
    <row r="10">
      <c r="A10" s="6" t="inlineStr">
        <is>
          <t>P01</t>
        </is>
      </c>
      <c r="B10" s="6" t="inlineStr">
        <is>
          <t>Confirm design dimensions</t>
        </is>
      </c>
      <c r="C10" s="6" t="inlineStr">
        <is>
          <t>Measure the display, Pico board, motors, wheel diameter, battery and camera mount. Draw the internal layout and wheel openings. Do not finalise the shell before measuring real parts.</t>
        </is>
      </c>
      <c r="D10" s="6" t="inlineStr">
        <is>
          <t>None</t>
        </is>
      </c>
      <c r="E10" s="6" t="inlineStr">
        <is>
          <t>2–4 hours</t>
        </is>
      </c>
      <c r="F10" s="6" t="inlineStr">
        <is>
          <t>Not started</t>
        </is>
      </c>
    </row>
    <row r="11">
      <c r="A11" s="7" t="inlineStr">
        <is>
          <t>P02</t>
        </is>
      </c>
      <c r="B11" s="7" t="inlineStr">
        <is>
          <t>Confirm compatible electronics</t>
        </is>
      </c>
      <c r="C11" s="7" t="inlineStr">
        <is>
          <t>Choose motors and check their stall current against the motor-driver ratings. Confirm display interface/library, servo supply, battery voltage and regulated logic supply.</t>
        </is>
      </c>
      <c r="D11" s="7" t="inlineStr">
        <is>
          <t>P01</t>
        </is>
      </c>
      <c r="E11" s="7" t="inlineStr">
        <is>
          <t>2–3 hours</t>
        </is>
      </c>
      <c r="F11" s="7" t="inlineStr">
        <is>
          <t>Not started</t>
        </is>
      </c>
    </row>
    <row r="12">
      <c r="A12" s="6" t="inlineStr">
        <is>
          <t>P03</t>
        </is>
      </c>
      <c r="B12" s="6" t="inlineStr">
        <is>
          <t>Order essential parts</t>
        </is>
      </c>
      <c r="C12" s="6" t="inlineStr">
        <is>
          <t>Use the Parts &amp; Costs tab. Buy only after checking seller stock, delivery, connectors and voltage/current specs.</t>
        </is>
      </c>
      <c r="D12" s="6" t="inlineStr">
        <is>
          <t>P02</t>
        </is>
      </c>
      <c r="E12" s="6" t="inlineStr">
        <is>
          <t>1 hour</t>
        </is>
      </c>
      <c r="F12" s="6" t="inlineStr">
        <is>
          <t>Not started</t>
        </is>
      </c>
    </row>
    <row r="13">
      <c r="A13" s="7" t="inlineStr">
        <is>
          <t>P04</t>
        </is>
      </c>
      <c r="B13" s="7" t="inlineStr">
        <is>
          <t>Set up development computer</t>
        </is>
      </c>
      <c r="C13" s="7" t="inlineStr">
        <is>
          <t>Install Thonny. Download the correct MicroPython UF2 for Pico W. Connect using a USB data cable; hold BOOTSEL while plugging in, then copy the UF2 file if needed.</t>
        </is>
      </c>
      <c r="D13" s="19" t="inlineStr">
        <is>
          <t>None (v2: start while parts ship)</t>
        </is>
      </c>
      <c r="E13" s="7" t="inlineStr">
        <is>
          <t>1–2 hours</t>
        </is>
      </c>
      <c r="F13" s="7" t="inlineStr">
        <is>
          <t>Not started</t>
        </is>
      </c>
    </row>
    <row r="14">
      <c r="A14" s="6" t="inlineStr">
        <is>
          <t>P05</t>
        </is>
      </c>
      <c r="B14" s="6" t="inlineStr">
        <is>
          <t>First Pico test</t>
        </is>
      </c>
      <c r="C14" s="6" t="inlineStr">
        <is>
          <t>In Thonny, select MicroPython for Pico. Run print('Hello robot'). Save a simple program to the Pico as main.py and confirm it runs after power cycling.</t>
        </is>
      </c>
      <c r="D14" s="6" t="inlineStr">
        <is>
          <t>P04</t>
        </is>
      </c>
      <c r="E14" s="6" t="inlineStr">
        <is>
          <t>1–2 hours</t>
        </is>
      </c>
      <c r="F14" s="6" t="inlineStr">
        <is>
          <t>Not started</t>
        </is>
      </c>
    </row>
    <row r="15">
      <c r="A15" s="7" t="inlineStr">
        <is>
          <t>P06</t>
        </is>
      </c>
      <c r="B15" s="7" t="inlineStr">
        <is>
          <t>Test colour display</t>
        </is>
      </c>
      <c r="C15" s="7" t="inlineStr">
        <is>
          <t>Follow the display manufacturer's examples and library for the exact display model. Display a simple face and two eyes before installing it in the shell.</t>
        </is>
      </c>
      <c r="D15" s="7" t="inlineStr">
        <is>
          <t>P05</t>
        </is>
      </c>
      <c r="E15" s="7" t="inlineStr">
        <is>
          <t>2–4 hours</t>
        </is>
      </c>
      <c r="F15" s="7" t="inlineStr">
        <is>
          <t>Not started</t>
        </is>
      </c>
    </row>
    <row r="16">
      <c r="A16" s="6" t="inlineStr">
        <is>
          <t>P07</t>
        </is>
      </c>
      <c r="B16" s="6" t="inlineStr">
        <is>
          <t>Test one motor channel</t>
        </is>
      </c>
      <c r="C16" s="6" t="inlineStr">
        <is>
          <t>Keep wheels off the ground. Wire one motor through its driver, use a low speed, test forward/reverse, then stop. Never connect a motor directly to Pico GPIO.</t>
        </is>
      </c>
      <c r="D16" s="6" t="inlineStr">
        <is>
          <t>P02, P05</t>
        </is>
      </c>
      <c r="E16" s="6" t="inlineStr">
        <is>
          <t>2–3 hours</t>
        </is>
      </c>
      <c r="F16" s="6" t="inlineStr">
        <is>
          <t>Not started</t>
        </is>
      </c>
    </row>
    <row r="17">
      <c r="A17" s="7" t="inlineStr">
        <is>
          <t>P08</t>
        </is>
      </c>
      <c r="B17" s="7" t="inlineStr">
        <is>
          <t>Test all four motors</t>
        </is>
      </c>
      <c r="C17" s="7" t="inlineStr">
        <is>
          <t>Repeat for all channels. Check motor current, driver temperature, direction and whether the Pico resets when motors start. Use suitable motor power and common ground as required by the circuit.</t>
        </is>
      </c>
      <c r="D17" s="7" t="inlineStr">
        <is>
          <t>P07</t>
        </is>
      </c>
      <c r="E17" s="7" t="inlineStr">
        <is>
          <t>2–4 hours</t>
        </is>
      </c>
      <c r="F17" s="7" t="inlineStr">
        <is>
          <t>Not started</t>
        </is>
      </c>
    </row>
    <row r="18">
      <c r="A18" s="6" t="inlineStr">
        <is>
          <t>P09</t>
        </is>
      </c>
      <c r="B18" s="6" t="inlineStr">
        <is>
          <t>Build base chassis</t>
        </is>
      </c>
      <c r="C18" s="6" t="inlineStr">
        <is>
          <t>Print or make a simple base plate first. Fit four motor mounts underneath, with wheel clearance. Add screw holes and removable electronics/battery mounts.</t>
        </is>
      </c>
      <c r="D18" s="6" t="inlineStr">
        <is>
          <t>P01, P08</t>
        </is>
      </c>
      <c r="E18" s="6" t="inlineStr">
        <is>
          <t>4–8 hours</t>
        </is>
      </c>
      <c r="F18" s="6" t="inlineStr">
        <is>
          <t>Not started</t>
        </is>
      </c>
    </row>
    <row r="19">
      <c r="A19" s="7" t="inlineStr">
        <is>
          <t>P10</t>
        </is>
      </c>
      <c r="B19" s="7" t="inlineStr">
        <is>
          <t>Install battery and wiring</t>
        </is>
      </c>
      <c r="C19" s="7" t="inlineStr">
        <is>
          <t>Secure battery so it cannot move. Keep motor wiring away from wheels. Use a suitable regulated supply for Pico/display and a safe, correctly rated battery arrangement.</t>
        </is>
      </c>
      <c r="D19" s="7" t="inlineStr">
        <is>
          <t>P08, P09</t>
        </is>
      </c>
      <c r="E19" s="7" t="inlineStr">
        <is>
          <t>2–4 hours</t>
        </is>
      </c>
      <c r="F19" s="7" t="inlineStr">
        <is>
          <t>Not started</t>
        </is>
      </c>
    </row>
    <row r="20">
      <c r="A20" s="6" t="inlineStr">
        <is>
          <t>P11</t>
        </is>
      </c>
      <c r="B20" s="6" t="inlineStr">
        <is>
          <t>Add obstacle sensor</t>
        </is>
      </c>
      <c r="C20" s="6" t="inlineStr">
        <is>
          <t>Connect the distance sensor using its datasheet and a compatible logic voltage. Test readings while stationary before adding automatic reactions.</t>
        </is>
      </c>
      <c r="D20" s="6" t="inlineStr">
        <is>
          <t>P05</t>
        </is>
      </c>
      <c r="E20" s="6" t="inlineStr">
        <is>
          <t>2–3 hours</t>
        </is>
      </c>
      <c r="F20" s="6" t="inlineStr">
        <is>
          <t>Not started</t>
        </is>
      </c>
    </row>
    <row r="21">
      <c r="A21" s="7" t="inlineStr">
        <is>
          <t>P12</t>
        </is>
      </c>
      <c r="B21" s="7" t="inlineStr">
        <is>
          <t>Add camera-mount servo</t>
        </is>
      </c>
      <c r="C21" s="7" t="inlineStr">
        <is>
          <t>Power the servo from an appropriate supply, not directly from a Pico GPIO. Connect signal and ground correctly; test limited angles before fitting the camera mount.</t>
        </is>
      </c>
      <c r="D21" s="7" t="inlineStr">
        <is>
          <t>P05, P10</t>
        </is>
      </c>
      <c r="E21" s="7" t="inlineStr">
        <is>
          <t>2–3 hours</t>
        </is>
      </c>
      <c r="F21" s="7" t="inlineStr">
        <is>
          <t>Not started</t>
        </is>
      </c>
    </row>
    <row r="22">
      <c r="A22" s="6" t="inlineStr">
        <is>
          <t>P13</t>
        </is>
      </c>
      <c r="B22" s="6" t="inlineStr">
        <is>
          <t>Build phone-app control</t>
        </is>
      </c>
      <c r="C22" s="6" t="inlineStr">
        <is>
          <t>Use Pico W Wi-Fi for a simple local web page with Forward, Reverse, Left, Right and Stop. Add a timeout so movement stops if commands stop arriving. Use only on a trusted local network.</t>
        </is>
      </c>
      <c r="D22" s="6" t="inlineStr">
        <is>
          <t>P08</t>
        </is>
      </c>
      <c r="E22" s="6" t="inlineStr">
        <is>
          <t>4–8 hours</t>
        </is>
      </c>
      <c r="F22" s="6" t="inlineStr">
        <is>
          <t>Not started</t>
        </is>
      </c>
    </row>
    <row r="23">
      <c r="A23" s="7" t="inlineStr">
        <is>
          <t>P14</t>
        </is>
      </c>
      <c r="B23" s="7" t="inlineStr">
        <is>
          <t>Combine software modules</t>
        </is>
      </c>
      <c r="C23" s="7" t="inlineStr">
        <is>
          <t>Integrate motor, display, sensor, servo and remote-control modules. Keep code separated into files; test each module individually before integration.</t>
        </is>
      </c>
      <c r="D23" s="7" t="inlineStr">
        <is>
          <t>P06, P08, P11, P12, P13</t>
        </is>
      </c>
      <c r="E23" s="7" t="inlineStr">
        <is>
          <t>4–8 hours</t>
        </is>
      </c>
      <c r="F23" s="7" t="inlineStr">
        <is>
          <t>Not started</t>
        </is>
      </c>
    </row>
    <row r="24">
      <c r="A24" s="6" t="inlineStr">
        <is>
          <t>P15</t>
        </is>
      </c>
      <c r="B24" s="6" t="inlineStr">
        <is>
          <t>Safety and driving tests</t>
        </is>
      </c>
      <c r="C24" s="6" t="inlineStr">
        <is>
          <t>First test with wheels raised. Then test slowly in an open area. Confirm Stop works, obstacle response is predictable, wiring is secure and motors/drivers do not overheat.</t>
        </is>
      </c>
      <c r="D24" s="6" t="inlineStr">
        <is>
          <t>P14</t>
        </is>
      </c>
      <c r="E24" s="6" t="inlineStr">
        <is>
          <t>2–4 hours</t>
        </is>
      </c>
      <c r="F24" s="6" t="inlineStr">
        <is>
          <t>Not started</t>
        </is>
      </c>
    </row>
    <row r="25">
      <c r="A25" s="7" t="inlineStr">
        <is>
          <t>P16</t>
        </is>
      </c>
      <c r="B25" s="7" t="inlineStr">
        <is>
          <t>Final shell and appearance</t>
        </is>
      </c>
      <c r="C25" s="7" t="inlineStr">
        <is>
          <t>After the prototype works, print the rounded-square shell with display opening, ventilation, removable cover, four wheel cut-outs and camera-mount fixing points.</t>
        </is>
      </c>
      <c r="D25" s="7" t="inlineStr">
        <is>
          <t>P15</t>
        </is>
      </c>
      <c r="E25" s="7" t="inlineStr">
        <is>
          <t>4–10 hours</t>
        </is>
      </c>
      <c r="F25" s="7" t="inlineStr">
        <is>
          <t>Not started</t>
        </is>
      </c>
    </row>
    <row r="26">
      <c r="A26" s="6" t="inlineStr">
        <is>
          <t>P17</t>
        </is>
      </c>
      <c r="B26" s="6" t="inlineStr">
        <is>
          <t>Optional track conversion</t>
        </is>
      </c>
      <c r="C26" s="6" t="inlineStr">
        <is>
          <t>Only after wheeled version is reliable: design matching drive sprockets/idlers, belt tensioning and brackets. Track kits must match the chassis and motor arrangement.</t>
        </is>
      </c>
      <c r="D26" s="6" t="inlineStr">
        <is>
          <t>P16</t>
        </is>
      </c>
      <c r="E26" s="6" t="inlineStr">
        <is>
          <t>Variable</t>
        </is>
      </c>
      <c r="F26" s="6" t="inlineStr">
        <is>
          <t>Not started</t>
        </is>
      </c>
    </row>
    <row r="27">
      <c r="A27" s="7" t="inlineStr">
        <is>
          <t>P18</t>
        </is>
      </c>
      <c r="B27" s="7" t="inlineStr">
        <is>
          <t>Optional live video</t>
        </is>
      </c>
      <c r="C27" s="19" t="inlineStr">
        <is>
          <t>Pico W is not suited to full conventional camera streaming by itself. Add a separate camera-capable computer/module and camera if live video is required. v2: done in stage 2 with a Pi Zero 2 W (P19-P20).</t>
        </is>
      </c>
      <c r="D27" s="7" t="inlineStr">
        <is>
          <t>P15</t>
        </is>
      </c>
      <c r="E27" s="7" t="inlineStr">
        <is>
          <t>Variable</t>
        </is>
      </c>
      <c r="F27" s="7" t="inlineStr">
        <is>
          <t>Not started</t>
        </is>
      </c>
    </row>
    <row r="29">
      <c r="A29" s="20" t="inlineStr">
        <is>
          <t>v2: evolution stages (see Evolution Roadmap)</t>
        </is>
      </c>
      <c r="B29" s="21" t="n"/>
      <c r="C29" s="21" t="n"/>
      <c r="D29" s="21" t="n"/>
      <c r="E29" s="21" t="n"/>
      <c r="F29" s="21" t="n"/>
    </row>
    <row r="30">
      <c r="A30" s="22" t="inlineStr">
        <is>
          <t>P00</t>
        </is>
      </c>
      <c r="B30" s="22" t="inlineStr">
        <is>
          <t>Try the design in the sandbox</t>
        </is>
      </c>
      <c r="C30" s="22" t="inlineStr">
        <is>
          <t>Open sandbox/index.html. Drive the Hatchling, finish missions 1-2, then try other motors, wheels and batteries. Save the designs you like and compare them.</t>
        </is>
      </c>
      <c r="D30" s="22" t="inlineStr">
        <is>
          <t>None</t>
        </is>
      </c>
      <c r="E30" s="22" t="inlineStr">
        <is>
          <t>1-2 hours</t>
        </is>
      </c>
      <c r="F30" s="22" t="inlineStr">
        <is>
          <t>Not started</t>
        </is>
      </c>
    </row>
    <row r="31">
      <c r="A31" s="22" t="inlineStr">
        <is>
          <t>P19</t>
        </is>
      </c>
      <c r="B31" s="22" t="inlineStr">
        <is>
          <t>Stage 2: add encoders and a Pi Zero 2 W</t>
        </is>
      </c>
      <c r="C31" s="22" t="inlineStr">
        <is>
          <t>Swap to encoder N20s. Mount the Pi Zero 2 W in the reserved bay. Link it to the Pico over UART (TX/RX/GND). The Pico keeps the motors and the dead-man stop.</t>
        </is>
      </c>
      <c r="D31" s="22" t="inlineStr">
        <is>
          <t>P15</t>
        </is>
      </c>
      <c r="E31" s="22" t="inlineStr">
        <is>
          <t>4-6 hours</t>
        </is>
      </c>
      <c r="F31" s="22" t="inlineStr">
        <is>
          <t>Not started</t>
        </is>
      </c>
    </row>
    <row r="32">
      <c r="A32" s="22" t="inlineStr">
        <is>
          <t>P20</t>
        </is>
      </c>
      <c r="B32" s="22" t="inlineStr">
        <is>
          <t>Stage 2: live camera</t>
        </is>
      </c>
      <c r="C32" s="22" t="inlineStr">
        <is>
          <t>Fit the Pi camera to the spiral mount. Stream video on the local network only. Check the stream does not slow the Pico's stop command.</t>
        </is>
      </c>
      <c r="D32" s="22" t="inlineStr">
        <is>
          <t>P19</t>
        </is>
      </c>
      <c r="E32" s="22" t="inlineStr">
        <is>
          <t>3-5 hours</t>
        </is>
      </c>
      <c r="F32" s="22" t="inlineStr">
        <is>
          <t>Not started</t>
        </is>
      </c>
    </row>
    <row r="33">
      <c r="A33" s="22" t="inlineStr">
        <is>
          <t>P21</t>
        </is>
      </c>
      <c r="B33" s="22" t="inlineStr">
        <is>
          <t>Stage 2: tracks</t>
        </is>
      </c>
      <c r="C33" s="22" t="inlineStr">
        <is>
          <t>Fit 44 mm sprockets and track panels (P17). Run sim/bench.py on your measured design first; raise ground clearance until the bench mounts 20 mm.</t>
        </is>
      </c>
      <c r="D33" s="22" t="inlineStr">
        <is>
          <t>P17, P19</t>
        </is>
      </c>
      <c r="E33" s="22" t="inlineStr">
        <is>
          <t>Variable</t>
        </is>
      </c>
      <c r="F33" s="22" t="inlineStr">
        <is>
          <t>Not started</t>
        </is>
      </c>
    </row>
    <row r="34">
      <c r="A34" s="22" t="inlineStr">
        <is>
          <t>P22</t>
        </is>
      </c>
      <c r="B34" s="22" t="inlineStr">
        <is>
          <t>Stage 3: run Open Duck in simulation</t>
        </is>
      </c>
      <c r="C34" s="22" t="inlineStr">
        <is>
          <t>Run third_party/fetch_open_duck.sh, then python sim/open_duck_walk.py --view and watch the trained policy walk the duck. No hardware needed.</t>
        </is>
      </c>
      <c r="D34" s="22" t="inlineStr">
        <is>
          <t>P00</t>
        </is>
      </c>
      <c r="E34" s="22" t="inlineStr">
        <is>
          <t>1 hour</t>
        </is>
      </c>
      <c r="F34" s="22" t="inlineStr">
        <is>
          <t>Not started</t>
        </is>
      </c>
    </row>
    <row r="35">
      <c r="A35" s="22" t="inlineStr">
        <is>
          <t>P23</t>
        </is>
      </c>
      <c r="B35" s="22" t="inlineStr">
        <is>
          <t>Stage 3: build the duck legs</t>
        </is>
      </c>
      <c r="C35" s="22" t="inlineStr">
        <is>
          <t>Print and assemble the Open Duck Mini v2 legs. Set each STS3215 servo ID and test it alone with the bus board before assembly.</t>
        </is>
      </c>
      <c r="D35" s="22" t="inlineStr">
        <is>
          <t>P22</t>
        </is>
      </c>
      <c r="E35" s="22" t="inlineStr">
        <is>
          <t>15-25 hours</t>
        </is>
      </c>
      <c r="F35" s="22" t="inlineStr">
        <is>
          <t>Not started</t>
        </is>
      </c>
    </row>
    <row r="36">
      <c r="A36" s="22" t="inlineStr">
        <is>
          <t>P24</t>
        </is>
      </c>
      <c r="B36" s="22" t="inlineStr">
        <is>
          <t>Stage 3: power and IMU</t>
        </is>
      </c>
      <c r="C36" s="22" t="inlineStr">
        <is>
          <t>2S pack with BMS, fuse, switch and 5 V 3 A buck for the Pi. Fit the BNO055 IMU near the centre of the body and test it.</t>
        </is>
      </c>
      <c r="D36" s="22" t="inlineStr">
        <is>
          <t>P23</t>
        </is>
      </c>
      <c r="E36" s="22" t="inlineStr">
        <is>
          <t>3-5 hours</t>
        </is>
      </c>
      <c r="F36" s="22" t="inlineStr">
        <is>
          <t>Not started</t>
        </is>
      </c>
    </row>
    <row r="37">
      <c r="A37" s="22" t="inlineStr">
        <is>
          <t>P25</t>
        </is>
      </c>
      <c r="B37" s="22" t="inlineStr">
        <is>
          <t>Stage 3: first steps</t>
        </is>
      </c>
      <c r="C37" s="22" t="inlineStr">
        <is>
          <t>Follow the Open_Duck_Mini_Runtime setup, find joint offsets, then run the walk policy on a soft floor with a hand ready to catch.</t>
        </is>
      </c>
      <c r="D37" s="22" t="inlineStr">
        <is>
          <t>P24</t>
        </is>
      </c>
      <c r="E37" s="22" t="inlineStr">
        <is>
          <t>4-8 hours</t>
        </is>
      </c>
      <c r="F37" s="22" t="inlineStr">
        <is>
          <t>Not started</t>
        </is>
      </c>
    </row>
    <row r="38">
      <c r="A38" s="22" t="inlineStr">
        <is>
          <t>P26</t>
        </is>
      </c>
      <c r="B38" s="22" t="inlineStr">
        <is>
          <t>Stage 3: robot head on the duck</t>
        </is>
      </c>
      <c r="C38" s="22" t="inlineStr">
        <is>
          <t>Mount the shell, face display and camera on top. Keep added mass under about 150 g and centred; re-check walking.</t>
        </is>
      </c>
      <c r="D38" s="22" t="inlineStr">
        <is>
          <t>P25</t>
        </is>
      </c>
      <c r="E38" s="22" t="inlineStr">
        <is>
          <t>4-8 hours</t>
        </is>
      </c>
      <c r="F38" s="22" t="inlineStr">
        <is>
          <t>Not started</t>
        </is>
      </c>
    </row>
    <row r="39">
      <c r="A39" s="22" t="inlineStr">
        <is>
          <t>P27</t>
        </is>
      </c>
      <c r="B39" s="22" t="inlineStr">
        <is>
          <t>Stage 4: arm and 3-finger hand</t>
        </is>
      </c>
      <c r="C39" s="22" t="inlineStr">
        <is>
          <t>Print the 4-servo arm and tendon hand. Run sim/bench.py with your real masses before printing. Test the arm clamped to the bench first.</t>
        </is>
      </c>
      <c r="D39" s="22" t="inlineStr">
        <is>
          <t>P26</t>
        </is>
      </c>
      <c r="E39" s="22" t="inlineStr">
        <is>
          <t>10-15 hours</t>
        </is>
      </c>
      <c r="F39" s="22" t="inlineStr">
        <is>
          <t>Not started</t>
        </is>
      </c>
    </row>
    <row r="40">
      <c r="A40" s="22" t="inlineStr">
        <is>
          <t>P28</t>
        </is>
      </c>
      <c r="B40" s="22" t="inlineStr">
        <is>
          <t>Stage 4: squat-and-reach</t>
        </is>
      </c>
      <c r="C40" s="22" t="inlineStr">
        <is>
          <t>Program the squat, reach, grip and lift sequence (the sandbox shows the steps). Test it standing still before trying it while walking.</t>
        </is>
      </c>
      <c r="D40" s="22" t="inlineStr">
        <is>
          <t>P27</t>
        </is>
      </c>
      <c r="E40" s="22" t="inlineStr">
        <is>
          <t>6-10 hours</t>
        </is>
      </c>
      <c r="F40" s="22" t="inlineStr">
        <is>
          <t>Not started</t>
        </is>
      </c>
    </row>
    <row r="41">
      <c r="A41" s="22" t="inlineStr">
        <is>
          <t>P29</t>
        </is>
      </c>
      <c r="B41" s="22" t="inlineStr">
        <is>
          <t>Stage 4: retrain walking with the arm</t>
        </is>
      </c>
      <c r="C41" s="22" t="inlineStr">
        <is>
          <t>Copy open_duck_mini_v2 in the Playground, add the arm and hand mass, train, and test in MuJoCo before the robot.</t>
        </is>
      </c>
      <c r="D41" s="22" t="inlineStr">
        <is>
          <t>P27</t>
        </is>
      </c>
      <c r="E41" s="22" t="inlineStr">
        <is>
          <t>1-2 days (GPU)</t>
        </is>
      </c>
      <c r="F41" s="22" t="inlineStr">
        <is>
          <t>Not started</t>
        </is>
      </c>
    </row>
    <row r="42">
      <c r="A42" s="22" t="inlineStr">
        <is>
          <t>P30</t>
        </is>
      </c>
      <c r="B42" s="22" t="inlineStr">
        <is>
          <t>Stage 5: Pi 5, microphone and speaker</t>
        </is>
      </c>
      <c r="C42" s="22" t="inlineStr">
        <is>
          <t>Swap the brain to a Pi 5. Add an I2S amp and speaker and a USB microphone. Test speech in and out with the robot standing still.</t>
        </is>
      </c>
      <c r="D42" s="22" t="inlineStr">
        <is>
          <t>P28</t>
        </is>
      </c>
      <c r="E42" s="22" t="inlineStr">
        <is>
          <t>4-6 hours</t>
        </is>
      </c>
      <c r="F42" s="22" t="inlineStr">
        <is>
          <t>Not started</t>
        </is>
      </c>
    </row>
    <row r="43">
      <c r="A43" s="22" t="inlineStr">
        <is>
          <t>P31</t>
        </is>
      </c>
      <c r="B43" s="22" t="inlineStr">
        <is>
          <t>Stage 5: voice commands</t>
        </is>
      </c>
      <c r="C43" s="22" t="inlineStr">
        <is>
          <t>Map spoken requests to the same commands the sandbox uses (pick red, place blue, go to pad). Always obey 'stop' first.</t>
        </is>
      </c>
      <c r="D43" s="22" t="inlineStr">
        <is>
          <t>P30</t>
        </is>
      </c>
      <c r="E43" s="22" t="inlineStr">
        <is>
          <t>6-10 hours</t>
        </is>
      </c>
      <c r="F43" s="22" t="inlineStr">
        <is>
          <t>Not started</t>
        </is>
      </c>
    </row>
    <row r="44">
      <c r="A44" s="22" t="inlineStr">
        <is>
          <t>P32</t>
        </is>
      </c>
      <c r="B44" s="22" t="inlineStr">
        <is>
          <t>Stage 5: first autonomous task</t>
        </is>
      </c>
      <c r="C44" s="22" t="inlineStr">
        <is>
          <t>Tidy-up: find coloured blocks with the camera, carry each to its bin. Run it in the sandbox until it never fails, then on the real floor.</t>
        </is>
      </c>
      <c r="D44" s="22" t="inlineStr">
        <is>
          <t>P31</t>
        </is>
      </c>
      <c r="E44" s="22" t="inlineStr">
        <is>
          <t>Variable</t>
        </is>
      </c>
      <c r="F44" s="22" t="inlineStr">
        <is>
          <t>Not started</t>
        </is>
      </c>
    </row>
  </sheetData>
  <autoFilter ref="A9:F27"/>
  <mergeCells count="4">
    <mergeCell ref="A2:F2"/>
    <mergeCell ref="B4:F5"/>
    <mergeCell ref="A1:F1"/>
    <mergeCell ref="B7:F7"/>
  </mergeCells>
  <conditionalFormatting sqref="F10:F27">
    <cfRule type="expression" priority="1" dxfId="0">
      <formula>F10="Complete"</formula>
    </cfRule>
  </conditionalFormatting>
  <dataValidations count="2">
    <dataValidation sqref="F10:F27" showDropDown="0" showInputMessage="0" showErrorMessage="0" allowBlank="0" type="list">
      <formula1>"Not started,In progress,Blocked,Complete"</formula1>
    </dataValidation>
    <dataValidation sqref="F30:F44" showDropDown="0" showInputMessage="0" showErrorMessage="0" allowBlank="0" type="list">
      <formula1>"Not started,In progress,Blocked,Complete"</formula1>
    </dataValidation>
  </dataValidations>
  <pageMargins left="0.25" right="0.25" top="0.5" bottom="0.5" header="0.5" footer="0.5"/>
  <pageSetup fitToHeight="0" fitToWidth="1"/>
</worksheet>
</file>

<file path=xl/worksheets/sheet3.xml><?xml version="1.0" encoding="utf-8"?>
<worksheet xmlns="http://schemas.openxmlformats.org/spreadsheetml/2006/main">
  <sheetPr>
    <outlinePr summaryBelow="1" summaryRight="1"/>
    <pageSetUpPr/>
  </sheetPr>
  <dimension ref="A1:I9"/>
  <sheetViews>
    <sheetView workbookViewId="0">
      <pane ySplit="4" topLeftCell="A5" activePane="bottomLeft" state="frozen"/>
      <selection pane="bottomLeft" activeCell="A1" sqref="A1"/>
    </sheetView>
  </sheetViews>
  <sheetFormatPr baseColWidth="8" defaultRowHeight="15"/>
  <cols>
    <col width="8" customWidth="1" min="1" max="1"/>
    <col width="14" customWidth="1" min="2" max="2"/>
    <col width="60" customWidth="1" min="3" max="3"/>
    <col width="20" customWidth="1" min="4" max="4"/>
    <col width="14" customWidth="1" min="5" max="5"/>
    <col width="32" customWidth="1" min="6" max="6"/>
    <col width="44" customWidth="1" min="7" max="7"/>
    <col width="12" customWidth="1" min="8" max="8"/>
    <col width="12" customWidth="1" min="9" max="9"/>
  </cols>
  <sheetData>
    <row r="1">
      <c r="A1" s="14" t="inlineStr">
        <is>
          <t>EVOLUTION ROADMAP</t>
        </is>
      </c>
    </row>
    <row r="2">
      <c r="A2" s="15" t="inlineStr">
        <is>
          <t>Each stage keeps the last one working. Mass and AUD come from the sandbox design model (planning estimates).</t>
        </is>
      </c>
    </row>
    <row r="4" ht="30" customHeight="1">
      <c r="A4" s="16" t="inlineStr">
        <is>
          <t>Stage</t>
        </is>
      </c>
      <c r="B4" s="16" t="inlineStr">
        <is>
          <t>Name</t>
        </is>
      </c>
      <c r="C4" s="16" t="inlineStr">
        <is>
          <t>What it adds</t>
        </is>
      </c>
      <c r="D4" s="16" t="inlineStr">
        <is>
          <t>Brain</t>
        </is>
      </c>
      <c r="E4" s="16" t="inlineStr">
        <is>
          <t>Moves on</t>
        </is>
      </c>
      <c r="F4" s="16" t="inlineStr">
        <is>
          <t>New abilities</t>
        </is>
      </c>
      <c r="G4" s="16" t="inlineStr">
        <is>
          <t>Gate test before moving on</t>
        </is>
      </c>
      <c r="H4" s="16" t="inlineStr">
        <is>
          <t>Mass</t>
        </is>
      </c>
      <c r="I4" s="16" t="inlineStr">
        <is>
          <t>Parts AUD</t>
        </is>
      </c>
    </row>
    <row r="5">
      <c r="A5" s="17" t="inlineStr">
        <is>
          <t>1</t>
        </is>
      </c>
      <c r="B5" s="17" t="inlineStr">
        <is>
          <t>Hatchling</t>
        </is>
      </c>
      <c r="C5" s="17" t="inlineStr">
        <is>
          <t>The original plan: rounded-square body, four wheels, Pico W, colour face, VL53L0X, camera tilt servo, phone control.</t>
        </is>
      </c>
      <c r="D5" s="17" t="inlineStr">
        <is>
          <t>Pico W</t>
        </is>
      </c>
      <c r="E5" s="17" t="inlineStr">
        <is>
          <t>4x N20 wheels</t>
        </is>
      </c>
      <c r="F5" s="17" t="inlineStr">
        <is>
          <t>Drive, face, stop for obstacles</t>
        </is>
      </c>
      <c r="G5" s="17" t="inlineStr">
        <is>
          <t>Sandbox missions 1-2; bench: 15 degree ramp</t>
        </is>
      </c>
      <c r="H5" s="17" t="inlineStr">
        <is>
          <t>385 g</t>
        </is>
      </c>
      <c r="I5" s="17" t="inlineStr">
        <is>
          <t>$176-377</t>
        </is>
      </c>
    </row>
    <row r="6">
      <c r="A6" s="18" t="inlineStr">
        <is>
          <t>2</t>
        </is>
      </c>
      <c r="B6" s="18" t="inlineStr">
        <is>
          <t>Explorer</t>
        </is>
      </c>
      <c r="C6" s="18" t="inlineStr">
        <is>
          <t>Track panels on 44 mm sprockets, Pi Zero 2 W + camera for live video. Encoders for exact moves.</t>
        </is>
      </c>
      <c r="D6" s="18" t="inlineStr">
        <is>
          <t>Pico W + Pi Zero 2 W</t>
        </is>
      </c>
      <c r="E6" s="18" t="inlineStr">
        <is>
          <t>Tracks</t>
        </is>
      </c>
      <c r="F6" s="18" t="inlineStr">
        <is>
          <t>Live video, kerbs, mapping the room</t>
        </is>
      </c>
      <c r="G6" s="18" t="inlineStr">
        <is>
          <t>Bench: step &gt;= 20 mm (needs more clearance)</t>
        </is>
      </c>
      <c r="H6" s="18" t="inlineStr">
        <is>
          <t>432 g</t>
        </is>
      </c>
      <c r="I6" s="18" t="inlineStr">
        <is>
          <t>$256-524</t>
        </is>
      </c>
    </row>
    <row r="7">
      <c r="A7" s="17" t="inlineStr">
        <is>
          <t>3</t>
        </is>
      </c>
      <c r="B7" s="17" t="inlineStr">
        <is>
          <t>Duckling</t>
        </is>
      </c>
      <c r="C7" s="17" t="inlineStr">
        <is>
          <t>Grows legs: Open Duck Mini v2 legs (10x STS3215), BNO055 IMU, 2S battery. The round robot shell becomes the head and body.</t>
        </is>
      </c>
      <c r="D7" s="17" t="inlineStr">
        <is>
          <t>Pi Zero 2 W</t>
        </is>
      </c>
      <c r="E7" s="17" t="inlineStr">
        <is>
          <t>Two legs</t>
        </is>
      </c>
      <c r="F7" s="17" t="inlineStr">
        <is>
          <t>Walks with the Open Duck policy</t>
        </is>
      </c>
      <c r="G7" s="17" t="inlineStr">
        <is>
          <t>Bench: stand + squat; Open Duck MuJoCo inference walks</t>
        </is>
      </c>
      <c r="H7" s="17" t="inlineStr">
        <is>
          <t>about 1.1 kg</t>
        </is>
      </c>
      <c r="I7" s="17" t="inlineStr">
        <is>
          <t>$503-875</t>
        </is>
      </c>
    </row>
    <row r="8">
      <c r="A8" s="18" t="inlineStr">
        <is>
          <t>4</t>
        </is>
      </c>
      <c r="B8" s="18" t="inlineStr">
        <is>
          <t>Helper</t>
        </is>
      </c>
      <c r="C8" s="18" t="inlineStr">
        <is>
          <t>Adds a 4-servo STS3215 arm and a 3-finger tendon hand on the right shoulder.</t>
        </is>
      </c>
      <c r="D8" s="18" t="inlineStr">
        <is>
          <t>Pi Zero 2 W</t>
        </is>
      </c>
      <c r="E8" s="18" t="inlineStr">
        <is>
          <t>Two legs</t>
        </is>
      </c>
      <c r="F8" s="18" t="inlineStr">
        <is>
          <t>Squat, pick a block, carry it to a bin</t>
        </is>
      </c>
      <c r="G8" s="18" t="inlineStr">
        <is>
          <t>Sandbox: Tidy-up mission; bench: arm hold, no tipping</t>
        </is>
      </c>
      <c r="H8" s="18" t="inlineStr">
        <is>
          <t>about 1.4 kg</t>
        </is>
      </c>
      <c r="I8" s="18" t="inlineStr">
        <is>
          <t>$621-1075</t>
        </is>
      </c>
    </row>
    <row r="9">
      <c r="A9" s="17" t="inlineStr">
        <is>
          <t>5</t>
        </is>
      </c>
      <c r="B9" s="17" t="inlineStr">
        <is>
          <t>Companion</t>
        </is>
      </c>
      <c r="C9" s="17" t="inlineStr">
        <is>
          <t>Pi 5 brain, microphone and speaker. Talks, listens and plans simple jobs.</t>
        </is>
      </c>
      <c r="D9" s="17" t="inlineStr">
        <is>
          <t>Pi 5 (4 GB)</t>
        </is>
      </c>
      <c r="E9" s="17" t="inlineStr">
        <is>
          <t>Two legs</t>
        </is>
      </c>
      <c r="F9" s="17" t="inlineStr">
        <is>
          <t>Talk, follow spoken requests, do tasks alone</t>
        </is>
      </c>
      <c r="G9" s="17" t="inlineStr">
        <is>
          <t>Sandbox: talk and tidy missions</t>
        </is>
      </c>
      <c r="H9" s="17" t="inlineStr">
        <is>
          <t>about 1.4 kg</t>
        </is>
      </c>
      <c r="I9" s="17" t="inlineStr">
        <is>
          <t>$711-1200</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J39"/>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4" customWidth="1" min="2" max="2"/>
    <col width="58" customWidth="1" min="3" max="3"/>
    <col width="16" customWidth="1" min="4" max="4"/>
    <col width="17" customWidth="1" min="5" max="5"/>
    <col width="17" customWidth="1" min="6" max="6"/>
    <col width="58" customWidth="1" min="7" max="7"/>
    <col width="21" customWidth="1" min="8" max="8"/>
    <col width="13" customWidth="1" min="9" max="9"/>
    <col width="13" customWidth="1" min="10" max="10"/>
  </cols>
  <sheetData>
    <row r="1" ht="32" customHeight="1">
      <c r="A1" s="1" t="inlineStr">
        <is>
          <t>PARTS SUPPLY &amp; COSTS</t>
        </is>
      </c>
    </row>
    <row r="2" ht="24" customHeight="1">
      <c r="A2" s="2" t="inlineStr">
        <is>
          <t>AUD estimates for planning only. Confirm exact model, electrical compatibility, shipping and stock before ordering.</t>
        </is>
      </c>
    </row>
    <row r="4" ht="30" customHeight="1">
      <c r="A4" s="5" t="inlineStr">
        <is>
          <t>ID</t>
        </is>
      </c>
      <c r="B4" s="5" t="inlineStr">
        <is>
          <t>Part / quantity</t>
        </is>
      </c>
      <c r="C4" s="5" t="inlineStr">
        <is>
          <t>What to check</t>
        </is>
      </c>
      <c r="D4" s="5" t="inlineStr">
        <is>
          <t>Low estimate (AUD)</t>
        </is>
      </c>
      <c r="E4" s="5" t="inlineStr">
        <is>
          <t>High estimate (AUD)</t>
        </is>
      </c>
      <c r="F4" s="5" t="inlineStr">
        <is>
          <t>Budget used (AUD)</t>
        </is>
      </c>
      <c r="G4" s="5" t="inlineStr">
        <is>
          <t>Supplier / search link</t>
        </is>
      </c>
      <c r="H4" s="5" t="inlineStr">
        <is>
          <t>Essential?</t>
        </is>
      </c>
      <c r="I4" s="5" t="inlineStr">
        <is>
          <t>Ordered?</t>
        </is>
      </c>
      <c r="J4" s="5" t="inlineStr">
        <is>
          <t>Received?</t>
        </is>
      </c>
    </row>
    <row r="5">
      <c r="A5" s="7" t="inlineStr">
        <is>
          <t>E01</t>
        </is>
      </c>
      <c r="B5" s="7" t="inlineStr">
        <is>
          <t>Raspberry Pi Pico W × 1</t>
        </is>
      </c>
      <c r="C5" s="7" t="inlineStr">
        <is>
          <t>Wi-Fi model; headers may need soldering depending on variant.</t>
        </is>
      </c>
      <c r="D5" s="8" t="n">
        <v>9.5</v>
      </c>
      <c r="E5" s="8" t="n">
        <v>18</v>
      </c>
      <c r="F5" s="8">
        <f>D5</f>
        <v/>
      </c>
      <c r="G5" s="9" t="inlineStr">
        <is>
          <t>https://core-electronics.com.au/raspberry-pi-pico-w-wireless-wifi.html</t>
        </is>
      </c>
      <c r="H5" s="7" t="inlineStr">
        <is>
          <t>Yes</t>
        </is>
      </c>
      <c r="I5" s="7" t="inlineStr">
        <is>
          <t>No</t>
        </is>
      </c>
      <c r="J5" s="7" t="inlineStr">
        <is>
          <t>No</t>
        </is>
      </c>
    </row>
    <row r="6">
      <c r="A6" s="6" t="inlineStr">
        <is>
          <t>E02</t>
        </is>
      </c>
      <c r="B6" s="6" t="inlineStr">
        <is>
          <t>Pico Display Pack 2.0 × 1</t>
        </is>
      </c>
      <c r="C6" s="6" t="inlineStr">
        <is>
          <t>Confirm exact model and library; approx 56 × 35 mm board footprint.</t>
        </is>
      </c>
      <c r="D6" s="10" t="n">
        <v>30</v>
      </c>
      <c r="E6" s="10" t="n">
        <v>45</v>
      </c>
      <c r="F6" s="10">
        <f>D6</f>
        <v/>
      </c>
      <c r="G6" s="11" t="inlineStr">
        <is>
          <t>https://core-electronics.com.au/pico-display-pack-2-0.html</t>
        </is>
      </c>
      <c r="H6" s="6" t="inlineStr">
        <is>
          <t>Yes</t>
        </is>
      </c>
      <c r="I6" s="6" t="inlineStr">
        <is>
          <t>No</t>
        </is>
      </c>
      <c r="J6" s="6" t="inlineStr">
        <is>
          <t>No</t>
        </is>
      </c>
    </row>
    <row r="7">
      <c r="A7" s="7" t="inlineStr">
        <is>
          <t>E03</t>
        </is>
      </c>
      <c r="B7" s="7" t="inlineStr">
        <is>
          <t>Dual-channel motor driver boards × 2 (provisional)</t>
        </is>
      </c>
      <c r="C7" s="7" t="inlineStr">
        <is>
          <t>Choose only after confirming motor voltage and stall current; one board may drive two motors if rated appropriately.</t>
        </is>
      </c>
      <c r="D7" s="8" t="n">
        <v>25</v>
      </c>
      <c r="E7" s="8" t="n">
        <v>55</v>
      </c>
      <c r="F7" s="8">
        <f>D7</f>
        <v/>
      </c>
      <c r="G7" s="9" t="inlineStr">
        <is>
          <t>https://www.robotgear.com.au/Product.aspx/Details/5513-SparkFun-Motor-Driver-Dual-TB6612FNG-with-Headers</t>
        </is>
      </c>
      <c r="H7" s="7" t="inlineStr">
        <is>
          <t>Yes</t>
        </is>
      </c>
      <c r="I7" s="7" t="inlineStr">
        <is>
          <t>No</t>
        </is>
      </c>
      <c r="J7" s="7" t="inlineStr">
        <is>
          <t>No</t>
        </is>
      </c>
    </row>
    <row r="8">
      <c r="A8" s="6" t="inlineStr">
        <is>
          <t>E04</t>
        </is>
      </c>
      <c r="B8" s="6" t="inlineStr">
        <is>
          <t>Geared DC motors × 4</t>
        </is>
      </c>
      <c r="C8" s="6" t="inlineStr">
        <is>
          <t>Matching voltage, shaft, speed/torque and stall current. Avoid choosing by appearance alone.</t>
        </is>
      </c>
      <c r="D8" s="10" t="n">
        <v>30</v>
      </c>
      <c r="E8" s="10" t="n">
        <v>60</v>
      </c>
      <c r="F8" s="10">
        <f>D8</f>
        <v/>
      </c>
      <c r="G8" s="11" t="inlineStr">
        <is>
          <t>https://www.amazon.com.au/s?k=N20+6V+geared+motor</t>
        </is>
      </c>
      <c r="H8" s="6" t="inlineStr">
        <is>
          <t>Yes</t>
        </is>
      </c>
      <c r="I8" s="6" t="inlineStr">
        <is>
          <t>No</t>
        </is>
      </c>
      <c r="J8" s="6" t="inlineStr">
        <is>
          <t>No</t>
        </is>
      </c>
    </row>
    <row r="9">
      <c r="A9" s="7" t="inlineStr">
        <is>
          <t>E05</t>
        </is>
      </c>
      <c r="B9" s="7" t="inlineStr">
        <is>
          <t>Wheels and hubs × 4</t>
        </is>
      </c>
      <c r="C9" s="7" t="inlineStr">
        <is>
          <t>Hub must fit exact motor shaft; confirm diameter and body clearance.</t>
        </is>
      </c>
      <c r="D9" s="8" t="n">
        <v>10</v>
      </c>
      <c r="E9" s="8" t="n">
        <v>25</v>
      </c>
      <c r="F9" s="8">
        <f>D9</f>
        <v/>
      </c>
      <c r="G9" s="9" t="inlineStr">
        <is>
          <t>https://www.amazon.com.au/s?k=small+robot+wheels+N20</t>
        </is>
      </c>
      <c r="H9" s="7" t="inlineStr">
        <is>
          <t>Yes</t>
        </is>
      </c>
      <c r="I9" s="7" t="inlineStr">
        <is>
          <t>No</t>
        </is>
      </c>
      <c r="J9" s="7" t="inlineStr">
        <is>
          <t>No</t>
        </is>
      </c>
    </row>
    <row r="10">
      <c r="A10" s="6" t="inlineStr">
        <is>
          <t>E06</t>
        </is>
      </c>
      <c r="B10" s="6" t="inlineStr">
        <is>
          <t>Battery pack/holder and power wiring × 1 set</t>
        </is>
      </c>
      <c r="C10" s="6" t="inlineStr">
        <is>
          <t>Voltage and current must suit motors and driver; separate regulated supply for logic may be needed.</t>
        </is>
      </c>
      <c r="D10" s="10" t="n">
        <v>20</v>
      </c>
      <c r="E10" s="10" t="n">
        <v>40</v>
      </c>
      <c r="F10" s="10">
        <f>D10</f>
        <v/>
      </c>
      <c r="G10" s="11" t="inlineStr">
        <is>
          <t>https://www.jaycar.com.au/search?text=battery+holder</t>
        </is>
      </c>
      <c r="H10" s="6" t="inlineStr">
        <is>
          <t>Yes</t>
        </is>
      </c>
      <c r="I10" s="6" t="inlineStr">
        <is>
          <t>No</t>
        </is>
      </c>
      <c r="J10" s="6" t="inlineStr">
        <is>
          <t>No</t>
        </is>
      </c>
    </row>
    <row r="11">
      <c r="A11" s="7" t="inlineStr">
        <is>
          <t>E07</t>
        </is>
      </c>
      <c r="B11" s="7" t="inlineStr">
        <is>
          <t>Distance sensor × 1</t>
        </is>
      </c>
      <c r="C11" s="7" t="inlineStr">
        <is>
          <t>VL53L0X or compatible module; check logic voltage and library.</t>
        </is>
      </c>
      <c r="D11" s="8" t="n">
        <v>10</v>
      </c>
      <c r="E11" s="8" t="n">
        <v>25</v>
      </c>
      <c r="F11" s="8">
        <f>D11</f>
        <v/>
      </c>
      <c r="G11" s="9" t="inlineStr">
        <is>
          <t>https://www.mlab.com.au/products/gravity-vl53l0x-tof-distance-sensor-30-2000mm</t>
        </is>
      </c>
      <c r="H11" s="7" t="inlineStr">
        <is>
          <t>Optional but recommended</t>
        </is>
      </c>
      <c r="I11" s="7" t="inlineStr">
        <is>
          <t>No</t>
        </is>
      </c>
      <c r="J11" s="7" t="inlineStr">
        <is>
          <t>No</t>
        </is>
      </c>
    </row>
    <row r="12">
      <c r="A12" s="6" t="inlineStr">
        <is>
          <t>E08</t>
        </is>
      </c>
      <c r="B12" s="6" t="inlineStr">
        <is>
          <t>Micro servo × 1</t>
        </is>
      </c>
      <c r="C12" s="6" t="inlineStr">
        <is>
          <t>For camera mount; use a suitable servo supply and shared ground as required.</t>
        </is>
      </c>
      <c r="D12" s="10" t="n">
        <v>5</v>
      </c>
      <c r="E12" s="10" t="n">
        <v>15</v>
      </c>
      <c r="F12" s="10">
        <f>D12</f>
        <v/>
      </c>
      <c r="G12" s="11" t="inlineStr">
        <is>
          <t>https://www.jaycar.com.au/search?text=servo</t>
        </is>
      </c>
      <c r="H12" s="6" t="inlineStr">
        <is>
          <t>Optional</t>
        </is>
      </c>
      <c r="I12" s="6" t="inlineStr">
        <is>
          <t>No</t>
        </is>
      </c>
      <c r="J12" s="6" t="inlineStr">
        <is>
          <t>No</t>
        </is>
      </c>
    </row>
    <row r="13">
      <c r="A13" s="7" t="inlineStr">
        <is>
          <t>E09</t>
        </is>
      </c>
      <c r="B13" s="7" t="inlineStr">
        <is>
          <t>USB data cable × 1</t>
        </is>
      </c>
      <c r="C13" s="7" t="inlineStr">
        <is>
          <t>Check the connector on the chosen Pico board; cable must support data, not charge-only.</t>
        </is>
      </c>
      <c r="D13" s="8" t="n">
        <v>5</v>
      </c>
      <c r="E13" s="8" t="n">
        <v>12</v>
      </c>
      <c r="F13" s="8">
        <f>D13</f>
        <v/>
      </c>
      <c r="G13" s="9" t="inlineStr">
        <is>
          <t>https://www.jaycar.com.au/search?text=USB+data+cable</t>
        </is>
      </c>
      <c r="H13" s="7" t="inlineStr">
        <is>
          <t>Yes</t>
        </is>
      </c>
      <c r="I13" s="7" t="inlineStr">
        <is>
          <t>No</t>
        </is>
      </c>
      <c r="J13" s="7" t="inlineStr">
        <is>
          <t>No</t>
        </is>
      </c>
    </row>
    <row r="14">
      <c r="A14" s="6" t="inlineStr">
        <is>
          <t>E10</t>
        </is>
      </c>
      <c r="B14" s="6" t="inlineStr">
        <is>
          <t>Jumper wires / prototyping board / connectors</t>
        </is>
      </c>
      <c r="C14" s="6" t="inlineStr">
        <is>
          <t>Include suitable wire gauge for motor current and insulated connectors.</t>
        </is>
      </c>
      <c r="D14" s="10" t="n">
        <v>10</v>
      </c>
      <c r="E14" s="10" t="n">
        <v>25</v>
      </c>
      <c r="F14" s="10">
        <f>D14</f>
        <v/>
      </c>
      <c r="G14" s="11" t="inlineStr">
        <is>
          <t>https://core-electronics.com.au/search.php?search_query=Raspberry+Pi+Pico+protoboard</t>
        </is>
      </c>
      <c r="H14" s="6" t="inlineStr">
        <is>
          <t>Yes</t>
        </is>
      </c>
      <c r="I14" s="6" t="inlineStr">
        <is>
          <t>No</t>
        </is>
      </c>
      <c r="J14" s="6" t="inlineStr">
        <is>
          <t>No</t>
        </is>
      </c>
    </row>
    <row r="15">
      <c r="A15" s="7" t="inlineStr">
        <is>
          <t>E11</t>
        </is>
      </c>
      <c r="B15" s="7" t="inlineStr">
        <is>
          <t>Screws, nuts, spacers, switch</t>
        </is>
      </c>
      <c r="C15" s="7" t="inlineStr">
        <is>
          <t>Allow for mounting boards, battery and shell.</t>
        </is>
      </c>
      <c r="D15" s="8" t="n">
        <v>8</v>
      </c>
      <c r="E15" s="8" t="n">
        <v>20</v>
      </c>
      <c r="F15" s="8">
        <f>D15</f>
        <v/>
      </c>
      <c r="G15" s="9" t="inlineStr">
        <is>
          <t>https://www.amazon.com.au/s?k=M3+screws+nuts+spacers+kit</t>
        </is>
      </c>
      <c r="H15" s="7" t="inlineStr">
        <is>
          <t>Yes</t>
        </is>
      </c>
      <c r="I15" s="7" t="inlineStr">
        <is>
          <t>No</t>
        </is>
      </c>
      <c r="J15" s="7" t="inlineStr">
        <is>
          <t>No</t>
        </is>
      </c>
    </row>
    <row r="16">
      <c r="A16" s="6" t="inlineStr">
        <is>
          <t>M01</t>
        </is>
      </c>
      <c r="B16" s="6" t="inlineStr">
        <is>
          <t>3D printing / filament / base plate</t>
        </is>
      </c>
      <c r="C16" s="6" t="inlineStr">
        <is>
          <t>Prototype base first; final shell after measuring parts.</t>
        </is>
      </c>
      <c r="D16" s="10" t="n">
        <v>20</v>
      </c>
      <c r="E16" s="10" t="n">
        <v>50</v>
      </c>
      <c r="F16" s="10">
        <f>D16</f>
        <v/>
      </c>
      <c r="G16" s="11" t="inlineStr">
        <is>
          <t>https://www.printables.com/search/models?q=robot%20chassis</t>
        </is>
      </c>
      <c r="H16" s="6" t="inlineStr">
        <is>
          <t>Yes</t>
        </is>
      </c>
      <c r="I16" s="6" t="inlineStr">
        <is>
          <t>No</t>
        </is>
      </c>
      <c r="J16" s="6" t="inlineStr">
        <is>
          <t>No</t>
        </is>
      </c>
    </row>
    <row r="17">
      <c r="A17" s="7" t="inlineStr">
        <is>
          <t>O01</t>
        </is>
      </c>
      <c r="B17" s="7" t="inlineStr">
        <is>
          <t>Track kit / sprockets / idlers</t>
        </is>
      </c>
      <c r="C17" s="7" t="inlineStr">
        <is>
          <t>Optional future upgrade; must match chassis and motors.</t>
        </is>
      </c>
      <c r="D17" s="8" t="n">
        <v>20</v>
      </c>
      <c r="E17" s="8" t="n">
        <v>60</v>
      </c>
      <c r="F17" s="8">
        <f>D17</f>
        <v/>
      </c>
      <c r="G17" s="9" t="inlineStr">
        <is>
          <t>https://www.amazon.com.au/s?k=small+robot+tracked+chassis+kit</t>
        </is>
      </c>
      <c r="H17" s="7" t="inlineStr">
        <is>
          <t>Optional</t>
        </is>
      </c>
      <c r="I17" s="7" t="inlineStr">
        <is>
          <t>No</t>
        </is>
      </c>
      <c r="J17" s="7" t="inlineStr">
        <is>
          <t>No</t>
        </is>
      </c>
    </row>
    <row r="18">
      <c r="A18" s="6" t="inlineStr">
        <is>
          <t>O02</t>
        </is>
      </c>
      <c r="B18" s="6" t="inlineStr">
        <is>
          <t>Camera + separate camera-capable board</t>
        </is>
      </c>
      <c r="C18" s="6" t="inlineStr">
        <is>
          <t>Optional live video; Pico W alone is not recommended for normal camera streaming.</t>
        </is>
      </c>
      <c r="D18" s="10" t="n">
        <v>35</v>
      </c>
      <c r="E18" s="10" t="n">
        <v>100</v>
      </c>
      <c r="F18" s="10">
        <f>D18</f>
        <v/>
      </c>
      <c r="G18" s="11" t="inlineStr">
        <is>
          <t>https://core-electronics.com.au/search.php?search_query=Raspberry+Pi+camera</t>
        </is>
      </c>
      <c r="H18" s="6" t="inlineStr">
        <is>
          <t>Optional</t>
        </is>
      </c>
      <c r="I18" s="6" t="inlineStr">
        <is>
          <t>No</t>
        </is>
      </c>
      <c r="J18" s="6" t="inlineStr">
        <is>
          <t>No</t>
        </is>
      </c>
    </row>
    <row r="19">
      <c r="A19" s="7" t="inlineStr">
        <is>
          <t>O03</t>
        </is>
      </c>
      <c r="B19" s="7" t="inlineStr">
        <is>
          <t>Tools / solder / heat-shrink / spare parts</t>
        </is>
      </c>
      <c r="C19" s="7" t="inlineStr">
        <is>
          <t>Depends on tools already owned.</t>
        </is>
      </c>
      <c r="D19" s="8" t="n">
        <v>0</v>
      </c>
      <c r="E19" s="8" t="n">
        <v>40</v>
      </c>
      <c r="F19" s="8">
        <f>D19</f>
        <v/>
      </c>
      <c r="G19" s="9" t="inlineStr">
        <is>
          <t>https://www.jaycar.com.au/</t>
        </is>
      </c>
      <c r="H19" s="7" t="inlineStr">
        <is>
          <t>Maybe</t>
        </is>
      </c>
      <c r="I19" s="7" t="inlineStr">
        <is>
          <t>No</t>
        </is>
      </c>
      <c r="J19" s="7" t="inlineStr">
        <is>
          <t>No</t>
        </is>
      </c>
    </row>
    <row r="21">
      <c r="B21" s="12" t="inlineStr">
        <is>
          <t>Essential build estimate (excluding optional items)</t>
        </is>
      </c>
      <c r="C21" s="12" t="n"/>
      <c r="D21" s="13">
        <f>SUMIF(H5:H19,"Yes",D5:D19)</f>
        <v/>
      </c>
      <c r="E21" s="13">
        <f>SUMIF(H5:H19,"Yes",E5:E19)</f>
        <v/>
      </c>
      <c r="F21" s="13">
        <f>SUMIF(H5:H19,"Yes",F5:F19)</f>
        <v/>
      </c>
    </row>
    <row r="22">
      <c r="B22" s="12" t="inlineStr">
        <is>
          <t>All items including optional upgrades</t>
        </is>
      </c>
      <c r="C22" s="12" t="n"/>
      <c r="D22" s="13">
        <f>SUM(D5:D19)</f>
        <v/>
      </c>
      <c r="E22" s="13">
        <f>SUM(E5:E19)</f>
        <v/>
      </c>
      <c r="F22" s="13">
        <f>SUM(F5:F19)</f>
        <v/>
      </c>
    </row>
    <row r="24">
      <c r="A24" s="20" t="inlineStr">
        <is>
          <t>v2: parts for later stages (buy each stage only after the one before works)</t>
        </is>
      </c>
      <c r="B24" s="21" t="n"/>
      <c r="C24" s="21" t="n"/>
      <c r="D24" s="21" t="n"/>
      <c r="E24" s="21" t="n"/>
      <c r="F24" s="21" t="n"/>
      <c r="G24" s="21" t="n"/>
      <c r="H24" s="21" t="n"/>
      <c r="I24" s="21" t="n"/>
      <c r="J24" s="21" t="n"/>
    </row>
    <row r="25">
      <c r="A25" s="5" t="inlineStr">
        <is>
          <t>ID</t>
        </is>
      </c>
      <c r="B25" s="5" t="inlineStr">
        <is>
          <t>Part / quantity</t>
        </is>
      </c>
      <c r="C25" s="5" t="inlineStr">
        <is>
          <t>What to check</t>
        </is>
      </c>
      <c r="D25" s="5" t="inlineStr">
        <is>
          <t>Low estimate (AUD)</t>
        </is>
      </c>
      <c r="E25" s="5" t="inlineStr">
        <is>
          <t>High estimate (AUD)</t>
        </is>
      </c>
      <c r="F25" s="5" t="inlineStr">
        <is>
          <t>Budget used (AUD)</t>
        </is>
      </c>
      <c r="G25" s="5" t="inlineStr">
        <is>
          <t>Supplier / search link</t>
        </is>
      </c>
      <c r="H25" s="5" t="inlineStr">
        <is>
          <t>Stage</t>
        </is>
      </c>
      <c r="I25" s="5" t="inlineStr">
        <is>
          <t>Ordered?</t>
        </is>
      </c>
      <c r="J25" s="5" t="inlineStr">
        <is>
          <t>Received?</t>
        </is>
      </c>
    </row>
    <row r="26">
      <c r="A26" s="22" t="inlineStr">
        <is>
          <t>U01</t>
        </is>
      </c>
      <c r="B26" s="22" t="inlineStr">
        <is>
          <t>Raspberry Pi Zero 2 W x 1</t>
        </is>
      </c>
      <c r="C26" s="22" t="inlineStr">
        <is>
          <t>Stage 2 brain for video, walking policy and bus servos. 65 x 30 mm.</t>
        </is>
      </c>
      <c r="D26" s="23" t="n">
        <v>25</v>
      </c>
      <c r="E26" s="23" t="n">
        <v>35</v>
      </c>
      <c r="F26" s="23">
        <f>D26</f>
        <v/>
      </c>
      <c r="G26" s="22" t="inlineStr">
        <is>
          <t>https://core-electronics.com.au/raspberry-pi-zero-2-w-wireless.html</t>
        </is>
      </c>
      <c r="H26" s="22" t="inlineStr">
        <is>
          <t>Stage 2</t>
        </is>
      </c>
      <c r="I26" s="22" t="inlineStr">
        <is>
          <t>No</t>
        </is>
      </c>
      <c r="J26" s="22" t="inlineStr">
        <is>
          <t>No</t>
        </is>
      </c>
    </row>
    <row r="27">
      <c r="A27" s="22" t="inlineStr">
        <is>
          <t>U02</t>
        </is>
      </c>
      <c r="B27" s="22" t="inlineStr">
        <is>
          <t>N20 6V 1:298 motors with hall encoders x 4</t>
        </is>
      </c>
      <c r="C27" s="22" t="inlineStr">
        <is>
          <t>Replaces E04 if bought before stage 1. Check shaft and connector.</t>
        </is>
      </c>
      <c r="D27" s="23" t="n">
        <v>40</v>
      </c>
      <c r="E27" s="23" t="n">
        <v>80</v>
      </c>
      <c r="F27" s="23">
        <f>D27</f>
        <v/>
      </c>
      <c r="G27" s="22" t="inlineStr">
        <is>
          <t>https://www.amazon.com.au/s?k=N20+encoder+gear+motor+6V</t>
        </is>
      </c>
      <c r="H27" s="22" t="inlineStr">
        <is>
          <t>Stage 1-2</t>
        </is>
      </c>
      <c r="I27" s="22" t="inlineStr">
        <is>
          <t>No</t>
        </is>
      </c>
      <c r="J27" s="22" t="inlineStr">
        <is>
          <t>No</t>
        </is>
      </c>
    </row>
    <row r="28">
      <c r="A28" s="22" t="inlineStr">
        <is>
          <t>U03</t>
        </is>
      </c>
      <c r="B28" s="22" t="inlineStr">
        <is>
          <t>Track panels and 44 mm sprockets</t>
        </is>
      </c>
      <c r="C28" s="22" t="inlineStr">
        <is>
          <t>Replaces O01. Print or buy; must match motor shaft.</t>
        </is>
      </c>
      <c r="D28" s="23" t="n">
        <v>20</v>
      </c>
      <c r="E28" s="23" t="n">
        <v>60</v>
      </c>
      <c r="F28" s="23">
        <f>D28</f>
        <v/>
      </c>
      <c r="G28" s="22" t="inlineStr">
        <is>
          <t>https://www.printables.com/search/models?q=robot%20track</t>
        </is>
      </c>
      <c r="H28" s="22" t="inlineStr">
        <is>
          <t>Stage 2</t>
        </is>
      </c>
      <c r="I28" s="22" t="inlineStr">
        <is>
          <t>No</t>
        </is>
      </c>
      <c r="J28" s="22" t="inlineStr">
        <is>
          <t>No</t>
        </is>
      </c>
    </row>
    <row r="29">
      <c r="A29" s="22" t="inlineStr">
        <is>
          <t>U04</t>
        </is>
      </c>
      <c r="B29" s="22" t="inlineStr">
        <is>
          <t>Feetech STS3215 servos x 10 (legs)</t>
        </is>
      </c>
      <c r="C29" s="22" t="inlineStr">
        <is>
          <t>Open Duck Mini v2 legs. Order a spare or two.</t>
        </is>
      </c>
      <c r="D29" s="23" t="n">
        <v>250</v>
      </c>
      <c r="E29" s="23" t="n">
        <v>400</v>
      </c>
      <c r="F29" s="23">
        <f>D29</f>
        <v/>
      </c>
      <c r="G29" s="22" t="inlineStr">
        <is>
          <t>https://github.com/apirrone/Open_Duck_Mini</t>
        </is>
      </c>
      <c r="H29" s="22" t="inlineStr">
        <is>
          <t>Stage 3</t>
        </is>
      </c>
      <c r="I29" s="22" t="inlineStr">
        <is>
          <t>No</t>
        </is>
      </c>
      <c r="J29" s="22" t="inlineStr">
        <is>
          <t>No</t>
        </is>
      </c>
    </row>
    <row r="30">
      <c r="A30" s="22" t="inlineStr">
        <is>
          <t>U05</t>
        </is>
      </c>
      <c r="B30" s="22" t="inlineStr">
        <is>
          <t>Feetech bus servo driver board</t>
        </is>
      </c>
      <c r="C30" s="22" t="inlineStr">
        <is>
          <t>USB to serial bus board for the Pi.</t>
        </is>
      </c>
      <c r="D30" s="23" t="n">
        <v>15</v>
      </c>
      <c r="E30" s="23" t="n">
        <v>30</v>
      </c>
      <c r="F30" s="23">
        <f>D30</f>
        <v/>
      </c>
      <c r="G30" s="22" t="inlineStr">
        <is>
          <t>https://www.feetechrc.com/</t>
        </is>
      </c>
      <c r="H30" s="22" t="inlineStr">
        <is>
          <t>Stage 3</t>
        </is>
      </c>
      <c r="I30" s="22" t="inlineStr">
        <is>
          <t>No</t>
        </is>
      </c>
      <c r="J30" s="22" t="inlineStr">
        <is>
          <t>No</t>
        </is>
      </c>
    </row>
    <row r="31">
      <c r="A31" s="22" t="inlineStr">
        <is>
          <t>U06</t>
        </is>
      </c>
      <c r="B31" s="22" t="inlineStr">
        <is>
          <t>BNO055 IMU</t>
        </is>
      </c>
      <c r="C31" s="22" t="inlineStr">
        <is>
          <t>Absolute orientation sensor used by Open Duck.</t>
        </is>
      </c>
      <c r="D31" s="23" t="n">
        <v>35</v>
      </c>
      <c r="E31" s="23" t="n">
        <v>55</v>
      </c>
      <c r="F31" s="23">
        <f>D31</f>
        <v/>
      </c>
      <c r="G31" s="22" t="inlineStr">
        <is>
          <t>https://core-electronics.com.au/search.php?search_query=BNO055</t>
        </is>
      </c>
      <c r="H31" s="22" t="inlineStr">
        <is>
          <t>Stage 3</t>
        </is>
      </c>
      <c r="I31" s="22" t="inlineStr">
        <is>
          <t>No</t>
        </is>
      </c>
      <c r="J31" s="22" t="inlineStr">
        <is>
          <t>No</t>
        </is>
      </c>
    </row>
    <row r="32">
      <c r="A32" s="22" t="inlineStr">
        <is>
          <t>U07</t>
        </is>
      </c>
      <c r="B32" s="22" t="inlineStr">
        <is>
          <t>2S 7.4 V battery with BMS + charger</t>
        </is>
      </c>
      <c r="C32" s="22" t="inlineStr">
        <is>
          <t>18650 2S pack or 2S LiPo 2200 mAh. Charge supervised, in a LiPo bag.</t>
        </is>
      </c>
      <c r="D32" s="23" t="n">
        <v>45</v>
      </c>
      <c r="E32" s="23" t="n">
        <v>90</v>
      </c>
      <c r="F32" s="23">
        <f>D32</f>
        <v/>
      </c>
      <c r="G32" s="22" t="inlineStr">
        <is>
          <t>https://www.jaycar.com.au/search?text=7.4V+battery</t>
        </is>
      </c>
      <c r="H32" s="22" t="inlineStr">
        <is>
          <t>Stage 3</t>
        </is>
      </c>
      <c r="I32" s="22" t="inlineStr">
        <is>
          <t>No</t>
        </is>
      </c>
      <c r="J32" s="22" t="inlineStr">
        <is>
          <t>No</t>
        </is>
      </c>
    </row>
    <row r="33">
      <c r="A33" s="22" t="inlineStr">
        <is>
          <t>U08</t>
        </is>
      </c>
      <c r="B33" s="22" t="inlineStr">
        <is>
          <t>5 V 3 A buck converter, fuse, switch</t>
        </is>
      </c>
      <c r="C33" s="22" t="inlineStr">
        <is>
          <t>Clean supply for the Pi from the 2S pack.</t>
        </is>
      </c>
      <c r="D33" s="23" t="n">
        <v>15</v>
      </c>
      <c r="E33" s="23" t="n">
        <v>30</v>
      </c>
      <c r="F33" s="23">
        <f>D33</f>
        <v/>
      </c>
      <c r="G33" s="22" t="inlineStr">
        <is>
          <t>https://core-electronics.com.au/search.php?search_query=buck+converter+5V+3A</t>
        </is>
      </c>
      <c r="H33" s="22" t="inlineStr">
        <is>
          <t>Stage 3</t>
        </is>
      </c>
      <c r="I33" s="22" t="inlineStr">
        <is>
          <t>No</t>
        </is>
      </c>
      <c r="J33" s="22" t="inlineStr">
        <is>
          <t>No</t>
        </is>
      </c>
    </row>
    <row r="34">
      <c r="A34" s="22" t="inlineStr">
        <is>
          <t>U09</t>
        </is>
      </c>
      <c r="B34" s="22" t="inlineStr">
        <is>
          <t>Feetech STS3215 servos x 4 (arm)</t>
        </is>
      </c>
      <c r="C34" s="22" t="inlineStr">
        <is>
          <t>Yaw, shoulder, elbow, wrist.</t>
        </is>
      </c>
      <c r="D34" s="23" t="n">
        <v>100</v>
      </c>
      <c r="E34" s="23" t="n">
        <v>160</v>
      </c>
      <c r="F34" s="23">
        <f>D34</f>
        <v/>
      </c>
      <c r="G34" s="22" t="inlineStr">
        <is>
          <t>https://www.feetechrc.com/</t>
        </is>
      </c>
      <c r="H34" s="22" t="inlineStr">
        <is>
          <t>Stage 4</t>
        </is>
      </c>
      <c r="I34" s="22" t="inlineStr">
        <is>
          <t>No</t>
        </is>
      </c>
      <c r="J34" s="22" t="inlineStr">
        <is>
          <t>No</t>
        </is>
      </c>
    </row>
    <row r="35">
      <c r="A35" s="22" t="inlineStr">
        <is>
          <t>U10</t>
        </is>
      </c>
      <c r="B35" s="22" t="inlineStr">
        <is>
          <t>3-finger tendon hand (2 micro servos + printed parts)</t>
        </is>
      </c>
      <c r="C35" s="22" t="inlineStr">
        <is>
          <t>About 45 g. Fishing line tendons, elastic return.</t>
        </is>
      </c>
      <c r="D35" s="23" t="n">
        <v>15</v>
      </c>
      <c r="E35" s="23" t="n">
        <v>30</v>
      </c>
      <c r="F35" s="23">
        <f>D35</f>
        <v/>
      </c>
      <c r="G35" s="22" t="inlineStr">
        <is>
          <t>https://www.printables.com/search/models?q=robot%20hand%20tendon</t>
        </is>
      </c>
      <c r="H35" s="22" t="inlineStr">
        <is>
          <t>Stage 4</t>
        </is>
      </c>
      <c r="I35" s="22" t="inlineStr">
        <is>
          <t>No</t>
        </is>
      </c>
      <c r="J35" s="22" t="inlineStr">
        <is>
          <t>No</t>
        </is>
      </c>
    </row>
    <row r="36">
      <c r="A36" s="22" t="inlineStr">
        <is>
          <t>U11</t>
        </is>
      </c>
      <c r="B36" s="22" t="inlineStr">
        <is>
          <t>Raspberry Pi 5 (4 GB) + cooler</t>
        </is>
      </c>
      <c r="C36" s="22" t="inlineStr">
        <is>
          <t>Stage 5 brain for speech and vision.</t>
        </is>
      </c>
      <c r="D36" s="23" t="n">
        <v>95</v>
      </c>
      <c r="E36" s="23" t="n">
        <v>125</v>
      </c>
      <c r="F36" s="23">
        <f>D36</f>
        <v/>
      </c>
      <c r="G36" s="22" t="inlineStr">
        <is>
          <t>https://core-electronics.com.au/raspberry-pi-5-model-b-4gb.html</t>
        </is>
      </c>
      <c r="H36" s="22" t="inlineStr">
        <is>
          <t>Stage 5</t>
        </is>
      </c>
      <c r="I36" s="22" t="inlineStr">
        <is>
          <t>No</t>
        </is>
      </c>
      <c r="J36" s="22" t="inlineStr">
        <is>
          <t>No</t>
        </is>
      </c>
    </row>
    <row r="37">
      <c r="A37" s="22" t="inlineStr">
        <is>
          <t>U12</t>
        </is>
      </c>
      <c r="B37" s="22" t="inlineStr">
        <is>
          <t>I2S amp (MAX98357), speaker, USB microphone</t>
        </is>
      </c>
      <c r="C37" s="22" t="inlineStr">
        <is>
          <t>Voice in and out.</t>
        </is>
      </c>
      <c r="D37" s="23" t="n">
        <v>20</v>
      </c>
      <c r="E37" s="23" t="n">
        <v>40</v>
      </c>
      <c r="F37" s="23">
        <f>D37</f>
        <v/>
      </c>
      <c r="G37" s="22" t="inlineStr">
        <is>
          <t>https://core-electronics.com.au/search.php?search_query=MAX98357</t>
        </is>
      </c>
      <c r="H37" s="22" t="inlineStr">
        <is>
          <t>Stage 5</t>
        </is>
      </c>
      <c r="I37" s="22" t="inlineStr">
        <is>
          <t>No</t>
        </is>
      </c>
      <c r="J37" s="22" t="inlineStr">
        <is>
          <t>No</t>
        </is>
      </c>
    </row>
    <row r="38">
      <c r="A38" s="22" t="inlineStr">
        <is>
          <t>O04</t>
        </is>
      </c>
      <c r="B38" s="22" t="inlineStr">
        <is>
          <t>Pollen Amazing Hand (optional): 8x Feetech SCS0009 + printed parts</t>
        </is>
      </c>
      <c r="C38" s="22" t="inlineStr">
        <is>
          <t>Free print files and code from Pollen (third_party/pollen). About 400 g: too heavy for the walker, use on a bench arm.</t>
        </is>
      </c>
      <c r="D38" s="23" t="n">
        <v>300</v>
      </c>
      <c r="E38" s="23" t="n">
        <v>380</v>
      </c>
      <c r="F38" s="23">
        <f>D38</f>
        <v/>
      </c>
      <c r="G38" s="22" t="inlineStr">
        <is>
          <t>https://github.com/pollen-robotics/AmazingHand</t>
        </is>
      </c>
      <c r="H38" s="22" t="inlineStr">
        <is>
          <t>Optional</t>
        </is>
      </c>
      <c r="I38" s="22" t="inlineStr">
        <is>
          <t>No</t>
        </is>
      </c>
      <c r="J38" s="22" t="inlineStr">
        <is>
          <t>No</t>
        </is>
      </c>
    </row>
    <row r="39">
      <c r="B39" s="24" t="inlineStr">
        <is>
          <t>Later stages, excluding optional items</t>
        </is>
      </c>
      <c r="D39" s="25">
        <f>SUMIF(H26:H38,"&lt;&gt;Optional",D26:D38)</f>
        <v/>
      </c>
      <c r="E39" s="25">
        <f>SUMIF(H26:H38,"&lt;&gt;Optional",E26:E38)</f>
        <v/>
      </c>
      <c r="F39" s="25">
        <f>SUMIF(H26:H38,"&lt;&gt;Optional",F26:F38)</f>
        <v/>
      </c>
    </row>
  </sheetData>
  <autoFilter ref="A4:J19"/>
  <mergeCells count="2">
    <mergeCell ref="A2:F2"/>
    <mergeCell ref="A1:F1"/>
  </mergeCells>
  <dataValidations count="2">
    <dataValidation sqref="I5:J19" showDropDown="0" showInputMessage="0" showErrorMessage="0" allowBlank="0" type="list">
      <formula1>"No,Yes"</formula1>
    </dataValidation>
    <dataValidation sqref="I26:J38" showDropDown="0" showInputMessage="0" showErrorMessage="0" allowBlank="0" type="list">
      <formula1>"No,Yes"</formula1>
    </dataValidation>
  </dataValidation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s>
  <pageMargins left="0.25" right="0.25" top="0.5" bottom="0.5"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G19"/>
  <sheetViews>
    <sheetView showGridLines="0" zoomScale="85" workbookViewId="0">
      <pane ySplit="4" topLeftCell="A5" activePane="bottomLeft" state="frozen"/>
      <selection pane="bottomLeft" activeCell="A1" sqref="A1"/>
    </sheetView>
  </sheetViews>
  <sheetFormatPr baseColWidth="8" defaultRowHeight="15"/>
  <cols>
    <col width="9" customWidth="1" min="1" max="1"/>
    <col width="25" customWidth="1" min="2" max="2"/>
    <col width="27" customWidth="1" min="3" max="3"/>
    <col width="68" customWidth="1" min="4" max="4"/>
    <col width="52" customWidth="1" min="5" max="5"/>
    <col width="56" customWidth="1" min="6" max="6"/>
    <col width="16" customWidth="1" min="7" max="7"/>
  </cols>
  <sheetData>
    <row r="1" ht="32" customHeight="1">
      <c r="A1" s="1" t="inlineStr">
        <is>
          <t>SOFTWARE DEVELOPMENT PLAN</t>
        </is>
      </c>
    </row>
    <row r="2" ht="24" customHeight="1">
      <c r="A2" s="2" t="inlineStr">
        <is>
          <t>Build each feature independently in MicroPython, then integrate. Pin numbers depend on the final display and driver.</t>
        </is>
      </c>
    </row>
    <row r="4" ht="30" customHeight="1">
      <c r="A4" s="5" t="inlineStr">
        <is>
          <t>Order</t>
        </is>
      </c>
      <c r="B4" s="5" t="inlineStr">
        <is>
          <t>Module / file</t>
        </is>
      </c>
      <c r="C4" s="5" t="inlineStr">
        <is>
          <t>Goal</t>
        </is>
      </c>
      <c r="D4" s="5" t="inlineStr">
        <is>
          <t>Development instructions</t>
        </is>
      </c>
      <c r="E4" s="5" t="inlineStr">
        <is>
          <t>Test / acceptance criteria</t>
        </is>
      </c>
      <c r="F4" s="5" t="inlineStr">
        <is>
          <t>Useful link</t>
        </is>
      </c>
      <c r="G4" s="5" t="inlineStr">
        <is>
          <t>Status</t>
        </is>
      </c>
    </row>
    <row r="5">
      <c r="A5" s="7" t="n">
        <v>1</v>
      </c>
      <c r="B5" s="7" t="inlineStr">
        <is>
          <t>setup_notes.md</t>
        </is>
      </c>
      <c r="C5" s="7" t="inlineStr">
        <is>
          <t>Record exact hardware and pins</t>
        </is>
      </c>
      <c r="D5" s="7" t="inlineStr">
        <is>
          <t>Write down Pico model, display model, driver model, motor voltage/current, power rails, I2C/SPI pins and library versions. Do not guess pin mappings.</t>
        </is>
      </c>
      <c r="E5" s="7" t="inlineStr">
        <is>
          <t>A wiring map exists before full assembly.</t>
        </is>
      </c>
      <c r="F5" s="9" t="inlineStr">
        <is>
          <t>https://www.raspberrypi.com/documentation/microcontrollers/micropython.html</t>
        </is>
      </c>
      <c r="G5" s="7" t="inlineStr">
        <is>
          <t>Not started</t>
        </is>
      </c>
    </row>
    <row r="6">
      <c r="A6" s="6" t="n">
        <v>2</v>
      </c>
      <c r="B6" s="6" t="inlineStr">
        <is>
          <t>main.py</t>
        </is>
      </c>
      <c r="C6" s="6" t="inlineStr">
        <is>
          <t>Startup and coordination</t>
        </is>
      </c>
      <c r="D6" s="6" t="inlineStr">
        <is>
          <t>Initialise modules; show startup face; keep main loop responsive; stop motors on errors or lost control commands.</t>
        </is>
      </c>
      <c r="E6" s="6" t="inlineStr">
        <is>
          <t>Robot starts predictably and defaults to stopped.</t>
        </is>
      </c>
      <c r="F6" s="11" t="inlineStr">
        <is>
          <t>https://thonny.org/</t>
        </is>
      </c>
      <c r="G6" s="6" t="inlineStr">
        <is>
          <t>Not started</t>
        </is>
      </c>
    </row>
    <row r="7">
      <c r="A7" s="7" t="n">
        <v>3</v>
      </c>
      <c r="B7" s="7" t="inlineStr">
        <is>
          <t>face.py</t>
        </is>
      </c>
      <c r="C7" s="7" t="inlineStr">
        <is>
          <t>Animated eyes</t>
        </is>
      </c>
      <c r="D7" s="7" t="inlineStr">
        <is>
          <t>Use the exact display library. Start with static eyes, then blinking and a few expressions. Keep display updates separate from motor-control timing.</t>
        </is>
      </c>
      <c r="E7" s="7" t="inlineStr">
        <is>
          <t>Face updates without freezing motor or safety logic.</t>
        </is>
      </c>
      <c r="F7" s="9" t="inlineStr">
        <is>
          <t>https://core-electronics.com.au/pico-display-pack-2-0.html</t>
        </is>
      </c>
      <c r="G7" s="7" t="inlineStr">
        <is>
          <t>Not started</t>
        </is>
      </c>
    </row>
    <row r="8">
      <c r="A8" s="6" t="n">
        <v>4</v>
      </c>
      <c r="B8" s="6" t="inlineStr">
        <is>
          <t>motors.py</t>
        </is>
      </c>
      <c r="C8" s="6" t="inlineStr">
        <is>
          <t>Drive and turn</t>
        </is>
      </c>
      <c r="D8" s="6" t="inlineStr">
        <is>
          <t>Implement stop(), forward(speed), reverse(speed), left(speed), right(speed). Limit speed range and test wheels off the ground. Use motor driver; never drive motors from GPIO directly.</t>
        </is>
      </c>
      <c r="E8" s="6" t="inlineStr">
        <is>
          <t>Each command does what it says; stop command works immediately.</t>
        </is>
      </c>
      <c r="F8" s="11" t="inlineStr">
        <is>
          <t>https://www.raspberrypi.com/documentation/microcontrollers/pico-series.html</t>
        </is>
      </c>
      <c r="G8" s="6" t="inlineStr">
        <is>
          <t>Not started</t>
        </is>
      </c>
    </row>
    <row r="9">
      <c r="A9" s="7" t="n">
        <v>5</v>
      </c>
      <c r="B9" s="7" t="inlineStr">
        <is>
          <t>sensor.py</t>
        </is>
      </c>
      <c r="C9" s="7" t="inlineStr">
        <is>
          <t>Obstacle distance</t>
        </is>
      </c>
      <c r="D9" s="7" t="inlineStr">
        <is>
          <t>Read sensor using its library and datasheet. Filter implausible readings and define a cautious stop distance. Test stationary before autonomous reactions.</t>
        </is>
      </c>
      <c r="E9" s="7" t="inlineStr">
        <is>
          <t>Valid distance readings; robot stops or refuses forward movement near an obstacle.</t>
        </is>
      </c>
      <c r="F9" s="9" t="inlineStr">
        <is>
          <t>https://www.mlab.com.au/products/gravity-vl53l0x-tof-distance-sensor-30-2000mm</t>
        </is>
      </c>
      <c r="G9" s="7" t="inlineStr">
        <is>
          <t>Not started</t>
        </is>
      </c>
    </row>
    <row r="10">
      <c r="A10" s="6" t="n">
        <v>6</v>
      </c>
      <c r="B10" s="6" t="inlineStr">
        <is>
          <t>camera_mount.py</t>
        </is>
      </c>
      <c r="C10" s="6" t="inlineStr">
        <is>
          <t>Servo movement</t>
        </is>
      </c>
      <c r="D10" s="6" t="inlineStr">
        <is>
          <t>Use PWM to command a limited angle range. Power servo from suitable supply, not a GPIO pin. Start with camera absent to avoid overloading mount.</t>
        </is>
      </c>
      <c r="E10" s="6" t="inlineStr">
        <is>
          <t>Mount moves smoothly without buzzing or hitting mechanical stops.</t>
        </is>
      </c>
      <c r="F10" s="11" t="inlineStr">
        <is>
          <t>https://www.raspberrypi.com/documentation/microcontrollers/micropython.html</t>
        </is>
      </c>
      <c r="G10" s="6" t="inlineStr">
        <is>
          <t>Not started</t>
        </is>
      </c>
    </row>
    <row r="11">
      <c r="A11" s="7" t="n">
        <v>7</v>
      </c>
      <c r="B11" s="7" t="inlineStr">
        <is>
          <t>remote.py</t>
        </is>
      </c>
      <c r="C11" s="7" t="inlineStr">
        <is>
          <t>Phone control over Wi-Fi</t>
        </is>
      </c>
      <c r="D11" s="7" t="inlineStr">
        <is>
          <t>Host a simple local control page or accept authenticated local commands. Add a command timeout/dead-man stop; do not expose the robot directly to the public internet.</t>
        </is>
      </c>
      <c r="E11" s="7" t="inlineStr">
        <is>
          <t>Phone can command movement on local network; loss of commands stops the robot.</t>
        </is>
      </c>
      <c r="F11" s="9" t="inlineStr">
        <is>
          <t>https://www.raspberrypi.com/documentation/microcontrollers/micropython.html</t>
        </is>
      </c>
      <c r="G11" s="7" t="inlineStr">
        <is>
          <t>Not started</t>
        </is>
      </c>
    </row>
    <row r="12">
      <c r="A12" s="6" t="n">
        <v>8</v>
      </c>
      <c r="B12" s="6" t="inlineStr">
        <is>
          <t>integration</t>
        </is>
      </c>
      <c r="C12" s="6" t="inlineStr">
        <is>
          <t>Combine features</t>
        </is>
      </c>
      <c r="D12" s="6" t="inlineStr">
        <is>
          <t>Test each module alone, then combine one at a time. Avoid long blocking delays; use timing that keeps the stop/safety loop responsive.</t>
        </is>
      </c>
      <c r="E12" s="6" t="inlineStr">
        <is>
          <t>Display, motors, sensor, servo and app control operate together.</t>
        </is>
      </c>
      <c r="F12" s="11" t="inlineStr">
        <is>
          <t>https://projects.raspberrypi.org/en/projects/introduction-to-the-pico</t>
        </is>
      </c>
      <c r="G12" s="6" t="inlineStr">
        <is>
          <t>Not started</t>
        </is>
      </c>
    </row>
    <row r="13">
      <c r="A13" s="7" t="n">
        <v>9</v>
      </c>
      <c r="B13" s="7" t="inlineStr">
        <is>
          <t>optional camera subsystem</t>
        </is>
      </c>
      <c r="C13" s="7" t="inlineStr">
        <is>
          <t>Live video</t>
        </is>
      </c>
      <c r="D13" s="7" t="inlineStr">
        <is>
          <t>Use a separate camera-capable computer/module if streaming video is required. Keep video processing separate from the Pico's motor control.</t>
        </is>
      </c>
      <c r="E13" s="7" t="inlineStr">
        <is>
          <t>Video works without interrupting motor stop/safety behavior.</t>
        </is>
      </c>
      <c r="F13" s="9" t="inlineStr">
        <is>
          <t>https://core-electronics.com.au/search.php?search_query=Raspberry+Pi+camera</t>
        </is>
      </c>
      <c r="G13" s="7" t="inlineStr">
        <is>
          <t>Not started</t>
        </is>
      </c>
    </row>
    <row r="14">
      <c r="A14" s="22" t="n">
        <v>10</v>
      </c>
      <c r="B14" s="22" t="inlineStr">
        <is>
          <t>hal.py</t>
        </is>
      </c>
      <c r="C14" s="22" t="inlineStr">
        <is>
          <t>Same code in twin and robot</t>
        </is>
      </c>
      <c r="D14" s="22" t="inlineStr">
        <is>
          <t>Small classes Motor, Servo, Distance, Imu with the same methods in the sandbox, in MuJoCo and on the robot. Behaviours only talk to these.</t>
        </is>
      </c>
      <c r="E14" s="22" t="inlineStr">
        <is>
          <t>A behaviour runs unchanged in sim and on the robot.</t>
        </is>
      </c>
      <c r="F14" s="22" t="inlineStr">
        <is>
          <t>sandbox/model.js, sim/robot_xml.py</t>
        </is>
      </c>
      <c r="G14" s="22" t="inlineStr">
        <is>
          <t>Not started</t>
        </is>
      </c>
    </row>
    <row r="15">
      <c r="A15" s="22" t="n">
        <v>11</v>
      </c>
      <c r="B15" s="22" t="inlineStr">
        <is>
          <t>link.py (Pi &lt;-&gt; Pico)</t>
        </is>
      </c>
      <c r="C15" s="22" t="inlineStr">
        <is>
          <t>Stage 2 two-brain link</t>
        </is>
      </c>
      <c r="D15" s="22" t="inlineStr">
        <is>
          <t>JSON lines over UART: the Pi sends drive and face commands, the Pico replies with sensor readings. The Pico still stops on its own if messages stop.</t>
        </is>
      </c>
      <c r="E15" s="22" t="inlineStr">
        <is>
          <t>Unplugging the Pi stops the robot within 0.5 s.</t>
        </is>
      </c>
      <c r="F15" s="22" t="inlineStr">
        <is>
          <t>https://docs.micropython.org/en/latest/library/machine.UART.html</t>
        </is>
      </c>
      <c r="G15" s="22" t="inlineStr">
        <is>
          <t>Not started</t>
        </is>
      </c>
    </row>
    <row r="16">
      <c r="A16" s="22" t="n">
        <v>12</v>
      </c>
      <c r="B16" s="22" t="inlineStr">
        <is>
          <t>walk (Open Duck runtime)</t>
        </is>
      </c>
      <c r="C16" s="22" t="inlineStr">
        <is>
          <t>Walking</t>
        </is>
      </c>
      <c r="D16" s="22" t="inlineStr">
        <is>
          <t>Use Open_Duck_Mini_Runtime unchanged first. Wrap it so hal.py can ask for 'walk at speed v, turn w'.</t>
        </is>
      </c>
      <c r="E16" s="22" t="inlineStr">
        <is>
          <t>Robot walks forward, turns and stops on command.</t>
        </is>
      </c>
      <c r="F16" s="22" t="inlineStr">
        <is>
          <t>https://github.com/apirrone/Open_Duck_Mini_Runtime</t>
        </is>
      </c>
      <c r="G16" s="22" t="inlineStr">
        <is>
          <t>Not started</t>
        </is>
      </c>
    </row>
    <row r="17">
      <c r="A17" s="22" t="n">
        <v>13</v>
      </c>
      <c r="B17" s="22" t="inlineStr">
        <is>
          <t>arm.py</t>
        </is>
      </c>
      <c r="C17" s="22" t="inlineStr">
        <is>
          <t>Squat, reach, grip, lift</t>
        </is>
      </c>
      <c r="D17" s="22" t="inlineStr">
        <is>
          <t>Two-link IK as in the sandbox; plan squat depth from target height. Check servo load readings and stop if over 80%.</t>
        </is>
      </c>
      <c r="E17" s="22" t="inlineStr">
        <is>
          <t>Picks a 30 mm block from the floor 9 times out of 10.</t>
        </is>
      </c>
      <c r="F17" s="22" t="inlineStr">
        <is>
          <t>sandbox/index.html (planReach, solveArm)</t>
        </is>
      </c>
      <c r="G17" s="22" t="inlineStr">
        <is>
          <t>Not started</t>
        </is>
      </c>
    </row>
    <row r="18">
      <c r="A18" s="22" t="n">
        <v>14</v>
      </c>
      <c r="B18" s="22" t="inlineStr">
        <is>
          <t>voice.py</t>
        </is>
      </c>
      <c r="C18" s="22" t="inlineStr">
        <is>
          <t>Listen and talk</t>
        </is>
      </c>
      <c r="D18" s="22" t="inlineStr">
        <is>
          <t>Start from Pollen's Reachy Mini conversation app (third_party/fetch_pollen.sh). Speech goes to the same command parser as the sandbox. 'Stop' always wins.</t>
        </is>
      </c>
      <c r="E18" s="22" t="inlineStr">
        <is>
          <t>Understands 'pick up the red block' and 'stop'.</t>
        </is>
      </c>
      <c r="F18" s="22" t="inlineStr">
        <is>
          <t>https://github.com/pollen-robotics/reachy_mini</t>
        </is>
      </c>
      <c r="G18" s="22" t="inlineStr">
        <is>
          <t>Not started</t>
        </is>
      </c>
    </row>
    <row r="19">
      <c r="A19" s="22" t="n">
        <v>15</v>
      </c>
      <c r="B19" s="22" t="inlineStr">
        <is>
          <t>tasks.py</t>
        </is>
      </c>
      <c r="C19" s="22" t="inlineStr">
        <is>
          <t>Do jobs alone</t>
        </is>
      </c>
      <c r="D19" s="22" t="inlineStr">
        <is>
          <t>Tidy-up: find blocks by colour with the camera, then pick and place each one. Develop it in the sandbox first.</t>
        </is>
      </c>
      <c r="E19" s="22" t="inlineStr">
        <is>
          <t>Finishes the sandbox Tidy-up mission, then the real one.</t>
        </is>
      </c>
      <c r="F19" s="22" t="inlineStr">
        <is>
          <t>sandbox mission 8</t>
        </is>
      </c>
      <c r="G19" s="22" t="inlineStr">
        <is>
          <t>Not started</t>
        </is>
      </c>
    </row>
  </sheetData>
  <autoFilter ref="A4:G13"/>
  <mergeCells count="2">
    <mergeCell ref="A2:F2"/>
    <mergeCell ref="A1:F1"/>
  </mergeCells>
  <dataValidations count="2">
    <dataValidation sqref="G5:G13" showDropDown="0" showInputMessage="0" showErrorMessage="0" allowBlank="0" type="list">
      <formula1>"Not started,In progress,Blocked,Complete"</formula1>
    </dataValidation>
    <dataValidation sqref="G14:G19" showDropDown="0" showInputMessage="0" showErrorMessage="0" allowBlank="0" type="list">
      <formula1>"Not started,In progress,Blocked,Complete"</formula1>
    </dataValidation>
  </dataValidations>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25" right="0.25" top="0.5" bottom="0.5"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H16"/>
  <sheetViews>
    <sheetView showGridLines="0" zoomScale="85" workbookViewId="0">
      <pane ySplit="4" topLeftCell="A5" activePane="bottomLeft" state="frozen"/>
      <selection pane="bottomLeft" activeCell="A1" sqref="A1"/>
    </sheetView>
  </sheetViews>
  <sheetFormatPr baseColWidth="8" defaultRowHeight="15"/>
  <cols>
    <col width="22" customWidth="1" min="1" max="1"/>
    <col width="31" customWidth="1" min="2" max="2"/>
    <col width="32" customWidth="1" min="3" max="3"/>
    <col width="34" customWidth="1" min="4" max="4"/>
    <col width="44" customWidth="1" min="5" max="5"/>
    <col width="40" customWidth="1" min="6" max="6"/>
    <col width="38" customWidth="1" min="7" max="7"/>
    <col width="15" customWidth="1" min="8" max="8"/>
  </cols>
  <sheetData>
    <row r="1" ht="32" customHeight="1">
      <c r="A1" s="1" t="inlineStr">
        <is>
          <t>WIRING NOTES &amp; TEST LOG</t>
        </is>
      </c>
    </row>
    <row r="2" ht="24" customHeight="1">
      <c r="A2" s="2" t="inlineStr">
        <is>
          <t>Fill in actual pins and results only after checking the specific component datasheets.</t>
        </is>
      </c>
    </row>
    <row r="4" ht="30" customHeight="1">
      <c r="A4" s="5" t="inlineStr">
        <is>
          <t>Subsystem</t>
        </is>
      </c>
      <c r="B4" s="5" t="inlineStr">
        <is>
          <t>Signal / connection</t>
        </is>
      </c>
      <c r="C4" s="5" t="inlineStr">
        <is>
          <t>Pico pin / board terminal</t>
        </is>
      </c>
      <c r="D4" s="5" t="inlineStr">
        <is>
          <t>Power source / voltage</t>
        </is>
      </c>
      <c r="E4" s="5" t="inlineStr">
        <is>
          <t>Test procedure</t>
        </is>
      </c>
      <c r="F4" s="5" t="inlineStr">
        <is>
          <t>Expected result</t>
        </is>
      </c>
      <c r="G4" s="5" t="inlineStr">
        <is>
          <t>Actual result / notes</t>
        </is>
      </c>
      <c r="H4" s="5" t="inlineStr">
        <is>
          <t>Pass?</t>
        </is>
      </c>
    </row>
    <row r="5">
      <c r="A5" s="7" t="inlineStr">
        <is>
          <t>Display</t>
        </is>
      </c>
      <c r="B5" s="7" t="inlineStr">
        <is>
          <t>SPI/I2C/control pins</t>
        </is>
      </c>
      <c r="C5" s="7" t="inlineStr">
        <is>
          <t>Fill from exact display documentation</t>
        </is>
      </c>
      <c r="D5" s="7" t="inlineStr">
        <is>
          <t>As specified by display board</t>
        </is>
      </c>
      <c r="E5" s="7" t="inlineStr">
        <is>
          <t>Run display demo before attaching motors</t>
        </is>
      </c>
      <c r="F5" s="7" t="inlineStr">
        <is>
          <t>Face renders without flicker or reset</t>
        </is>
      </c>
      <c r="G5" s="7" t="inlineStr"/>
      <c r="H5" s="7" t="inlineStr">
        <is>
          <t>Not tested</t>
        </is>
      </c>
    </row>
    <row r="6">
      <c r="A6" s="6" t="inlineStr">
        <is>
          <t>Motor driver A</t>
        </is>
      </c>
      <c r="B6" s="6" t="inlineStr">
        <is>
          <t>Control inputs and motor outputs</t>
        </is>
      </c>
      <c r="C6" s="6" t="inlineStr">
        <is>
          <t>Fill from driver datasheet and code</t>
        </is>
      </c>
      <c r="D6" s="6" t="inlineStr">
        <is>
          <t>Motor supply within driver/motor ratings</t>
        </is>
      </c>
      <c r="E6" s="6" t="inlineStr">
        <is>
          <t>Wheels raised; low speed; test forward/reverse/stop</t>
        </is>
      </c>
      <c r="F6" s="6" t="inlineStr">
        <is>
          <t>Motor responds correctly; no overheating</t>
        </is>
      </c>
      <c r="G6" s="6" t="inlineStr"/>
      <c r="H6" s="6" t="inlineStr">
        <is>
          <t>Not tested</t>
        </is>
      </c>
    </row>
    <row r="7">
      <c r="A7" s="7" t="inlineStr">
        <is>
          <t>Motor driver B</t>
        </is>
      </c>
      <c r="B7" s="7" t="inlineStr">
        <is>
          <t>Control inputs and motor outputs</t>
        </is>
      </c>
      <c r="C7" s="7" t="inlineStr">
        <is>
          <t>Fill from driver datasheet and code</t>
        </is>
      </c>
      <c r="D7" s="7" t="inlineStr">
        <is>
          <t>Motor supply within driver/motor ratings</t>
        </is>
      </c>
      <c r="E7" s="7" t="inlineStr">
        <is>
          <t>Test each motor individually</t>
        </is>
      </c>
      <c r="F7" s="7" t="inlineStr">
        <is>
          <t>All motors respond as expected</t>
        </is>
      </c>
      <c r="G7" s="7" t="inlineStr"/>
      <c r="H7" s="7" t="inlineStr">
        <is>
          <t>Not tested</t>
        </is>
      </c>
    </row>
    <row r="8">
      <c r="A8" s="6" t="inlineStr">
        <is>
          <t>Distance sensor</t>
        </is>
      </c>
      <c r="B8" s="6" t="inlineStr">
        <is>
          <t>SDA/SCL or required interface</t>
        </is>
      </c>
      <c r="C8" s="6" t="inlineStr">
        <is>
          <t>Fill from sensor documentation</t>
        </is>
      </c>
      <c r="D8" s="6" t="inlineStr">
        <is>
          <t>Check logic voltage compatibility</t>
        </is>
      </c>
      <c r="E8" s="6" t="inlineStr">
        <is>
          <t>Read several distances with robot stationary</t>
        </is>
      </c>
      <c r="F8" s="6" t="inlineStr">
        <is>
          <t>Stable plausible readings</t>
        </is>
      </c>
      <c r="G8" s="6" t="inlineStr"/>
      <c r="H8" s="6" t="inlineStr">
        <is>
          <t>Not tested</t>
        </is>
      </c>
    </row>
    <row r="9">
      <c r="A9" s="7" t="inlineStr">
        <is>
          <t>Servo</t>
        </is>
      </c>
      <c r="B9" s="7" t="inlineStr">
        <is>
          <t>PWM signal and ground</t>
        </is>
      </c>
      <c r="C9" s="7" t="inlineStr">
        <is>
          <t>Fill from chosen pin plan</t>
        </is>
      </c>
      <c r="D9" s="7" t="inlineStr">
        <is>
          <t>Suitable servo supply; not powered from GPIO</t>
        </is>
      </c>
      <c r="E9" s="7" t="inlineStr">
        <is>
          <t>Move through limited angles with mount unloaded</t>
        </is>
      </c>
      <c r="F9" s="7" t="inlineStr">
        <is>
          <t>Smooth movement; no excessive buzzing</t>
        </is>
      </c>
      <c r="G9" s="7" t="inlineStr"/>
      <c r="H9" s="7" t="inlineStr">
        <is>
          <t>Not tested</t>
        </is>
      </c>
    </row>
    <row r="10">
      <c r="A10" s="6" t="inlineStr">
        <is>
          <t>Pico power</t>
        </is>
      </c>
      <c r="B10" s="6" t="inlineStr">
        <is>
          <t>VSYS/USB/power input as designed</t>
        </is>
      </c>
      <c r="C10" s="6" t="inlineStr">
        <is>
          <t>Use official board docs</t>
        </is>
      </c>
      <c r="D10" s="6" t="inlineStr">
        <is>
          <t>Regulated supply within board limits</t>
        </is>
      </c>
      <c r="E10" s="6" t="inlineStr">
        <is>
          <t>Power-cycle and monitor stability</t>
        </is>
      </c>
      <c r="F10" s="6" t="inlineStr">
        <is>
          <t>Pico starts reliably</t>
        </is>
      </c>
      <c r="G10" s="6" t="inlineStr"/>
      <c r="H10" s="6" t="inlineStr">
        <is>
          <t>Not tested</t>
        </is>
      </c>
    </row>
    <row r="11">
      <c r="A11" s="7" t="inlineStr">
        <is>
          <t>Phone app</t>
        </is>
      </c>
      <c r="B11" s="7" t="inlineStr">
        <is>
          <t>Wi-Fi connection and commands</t>
        </is>
      </c>
      <c r="C11" s="7" t="inlineStr">
        <is>
          <t>Pico W wireless</t>
        </is>
      </c>
      <c r="D11" s="7" t="inlineStr">
        <is>
          <t>Local trusted Wi-Fi network</t>
        </is>
      </c>
      <c r="E11" s="7" t="inlineStr">
        <is>
          <t>Test each button and disconnect phone</t>
        </is>
      </c>
      <c r="F11" s="7" t="inlineStr">
        <is>
          <t>Stop timeout halts motion</t>
        </is>
      </c>
      <c r="G11" s="7" t="inlineStr"/>
      <c r="H11" s="7" t="inlineStr">
        <is>
          <t>Not tested</t>
        </is>
      </c>
    </row>
    <row r="12">
      <c r="A12" s="22" t="inlineStr">
        <is>
          <t>Pi Zero 2 W link</t>
        </is>
      </c>
      <c r="B12" s="22" t="inlineStr">
        <is>
          <t>UART TX/RX/GND to Pico</t>
        </is>
      </c>
      <c r="C12" s="22" t="inlineStr">
        <is>
          <t>Pico UART0 pins, Pi GPIO14/15</t>
        </is>
      </c>
      <c r="D12" s="22" t="inlineStr">
        <is>
          <t>5 V buck for Pi, common ground</t>
        </is>
      </c>
      <c r="E12" s="22" t="inlineStr">
        <is>
          <t>Send a test message each way</t>
        </is>
      </c>
      <c r="F12" s="22" t="inlineStr">
        <is>
          <t>Messages arrive; stop works when unplugged</t>
        </is>
      </c>
      <c r="G12" s="22" t="n"/>
      <c r="H12" s="22" t="inlineStr">
        <is>
          <t>Not tested</t>
        </is>
      </c>
    </row>
    <row r="13">
      <c r="A13" s="22" t="inlineStr">
        <is>
          <t>Bus servos</t>
        </is>
      </c>
      <c r="B13" s="22" t="inlineStr">
        <is>
          <t>Data line via bus driver board</t>
        </is>
      </c>
      <c r="C13" s="22" t="inlineStr">
        <is>
          <t>Pi USB</t>
        </is>
      </c>
      <c r="D13" s="22" t="inlineStr">
        <is>
          <t>2S 7.4 V through fuse</t>
        </is>
      </c>
      <c r="E13" s="22" t="inlineStr">
        <is>
          <t>One servo at a time: set ID, move 10 degrees</t>
        </is>
      </c>
      <c r="F13" s="22" t="inlineStr">
        <is>
          <t>Correct ID, position read back</t>
        </is>
      </c>
      <c r="G13" s="22" t="n"/>
      <c r="H13" s="22" t="inlineStr">
        <is>
          <t>Not tested</t>
        </is>
      </c>
    </row>
    <row r="14">
      <c r="A14" s="22" t="inlineStr">
        <is>
          <t>IMU (BNO055)</t>
        </is>
      </c>
      <c r="B14" s="22" t="inlineStr">
        <is>
          <t>I2C SDA/SCL</t>
        </is>
      </c>
      <c r="C14" s="22" t="inlineStr">
        <is>
          <t>Pi I2C</t>
        </is>
      </c>
      <c r="D14" s="22" t="inlineStr">
        <is>
          <t>3.3 V</t>
        </is>
      </c>
      <c r="E14" s="22" t="inlineStr">
        <is>
          <t>Tilt the robot by hand</t>
        </is>
      </c>
      <c r="F14" s="22" t="inlineStr">
        <is>
          <t>Angles follow the tilt</t>
        </is>
      </c>
      <c r="G14" s="22" t="n"/>
      <c r="H14" s="22" t="inlineStr">
        <is>
          <t>Not tested</t>
        </is>
      </c>
    </row>
    <row r="15">
      <c r="A15" s="22" t="inlineStr">
        <is>
          <t>2S battery + BMS</t>
        </is>
      </c>
      <c r="B15" s="22" t="inlineStr">
        <is>
          <t>Main power</t>
        </is>
      </c>
      <c r="C15" s="22" t="inlineStr">
        <is>
          <t>Switch and fuse</t>
        </is>
      </c>
      <c r="D15" s="22" t="inlineStr">
        <is>
          <t>7.4 V nominal, 8.4 V full</t>
        </is>
      </c>
      <c r="E15" s="22" t="inlineStr">
        <is>
          <t>Measure voltage, then power one servo</t>
        </is>
      </c>
      <c r="F15" s="22" t="inlineStr">
        <is>
          <t>No resets or brown-outs</t>
        </is>
      </c>
      <c r="G15" s="22" t="n"/>
      <c r="H15" s="22" t="inlineStr">
        <is>
          <t>Not tested</t>
        </is>
      </c>
    </row>
    <row r="16">
      <c r="A16" s="22" t="inlineStr">
        <is>
          <t>Arm and hand</t>
        </is>
      </c>
      <c r="B16" s="22" t="inlineStr">
        <is>
          <t>Bus servos 11-14 + hand servos</t>
        </is>
      </c>
      <c r="C16" s="22" t="inlineStr">
        <is>
          <t>Bus driver board</t>
        </is>
      </c>
      <c r="D16" s="22" t="inlineStr">
        <is>
          <t>7.4 V servos, 5 V micro servos</t>
        </is>
      </c>
      <c r="E16" s="22" t="inlineStr">
        <is>
          <t>Arm clamped on the bench, hold horizontal with block</t>
        </is>
      </c>
      <c r="F16" s="22" t="inlineStr">
        <is>
          <t>Load under 70% of stall, no buzzing</t>
        </is>
      </c>
      <c r="G16" s="22" t="n"/>
      <c r="H16" s="22" t="inlineStr">
        <is>
          <t>Not tested</t>
        </is>
      </c>
    </row>
  </sheetData>
  <mergeCells count="2">
    <mergeCell ref="A2:F2"/>
    <mergeCell ref="A1:F1"/>
  </mergeCells>
  <dataValidations count="2">
    <dataValidation sqref="H5:H11" showDropDown="0" showInputMessage="0" showErrorMessage="0" allowBlank="0" type="list">
      <formula1>"Not tested,Pass,Fail,Retest"</formula1>
    </dataValidation>
    <dataValidation sqref="H12:H16" showDropDown="0" showInputMessage="0" showErrorMessage="0" allowBlank="0" type="list">
      <formula1>"Not tested,Pass,Fail,Retest"</formula1>
    </dataValidation>
  </dataValidations>
  <pageMargins left="0.25" right="0.25" top="0.5" bottom="0.5" header="0.5" footer="0.5"/>
  <pageSetup fitToHeight="0" fitToWidth="1"/>
</worksheet>
</file>

<file path=xl/worksheets/sheet7.xml><?xml version="1.0" encoding="utf-8"?>
<worksheet xmlns="http://schemas.openxmlformats.org/spreadsheetml/2006/main">
  <sheetPr>
    <outlinePr summaryBelow="1" summaryRight="1"/>
    <pageSetUpPr/>
  </sheetPr>
  <dimension ref="A1:K12"/>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10" customWidth="1" min="3" max="3"/>
    <col width="12" customWidth="1" min="4" max="4"/>
    <col width="12" customWidth="1" min="5" max="5"/>
    <col width="12" customWidth="1" min="6" max="6"/>
    <col width="14" customWidth="1" min="7" max="7"/>
    <col width="12" customWidth="1" min="8" max="8"/>
    <col width="14" customWidth="1" min="9" max="9"/>
    <col width="14" customWidth="1" min="10" max="10"/>
    <col width="40" customWidth="1" min="11" max="11"/>
  </cols>
  <sheetData>
    <row r="1">
      <c r="A1" s="14" t="inlineStr">
        <is>
          <t>DIGITAL TWIN RESULTS</t>
        </is>
      </c>
    </row>
    <row r="2">
      <c r="A2" s="15" t="inlineStr">
        <is>
          <t>From python sim/bench.py sim/designs/*.json (MuJoCo physics). Re-run after every design change.</t>
        </is>
      </c>
    </row>
    <row r="4" ht="30" customHeight="1">
      <c r="A4" s="16" t="inlineStr">
        <is>
          <t>Design</t>
        </is>
      </c>
      <c r="B4" s="16" t="inlineStr">
        <is>
          <t>Moves on</t>
        </is>
      </c>
      <c r="C4" s="16" t="inlineStr">
        <is>
          <t>Mass (g)</t>
        </is>
      </c>
      <c r="D4" s="16" t="inlineStr">
        <is>
          <t>Top speed (m/s)</t>
        </is>
      </c>
      <c r="E4" s="16" t="inlineStr">
        <is>
          <t>Steepest ramp (deg)</t>
        </is>
      </c>
      <c r="F4" s="16" t="inlineStr">
        <is>
          <t>Tallest step (mm)</t>
        </is>
      </c>
      <c r="G4" s="16" t="inlineStr">
        <is>
          <t>Stands / squats</t>
        </is>
      </c>
      <c r="H4" s="16" t="inlineStr">
        <is>
          <t>Knee peak (% stall)</t>
        </is>
      </c>
      <c r="I4" s="16" t="inlineStr">
        <is>
          <t>Arm out: shoulder load</t>
        </is>
      </c>
      <c r="J4" s="16" t="inlineStr">
        <is>
          <t>Arm out: body tilt (deg)</t>
        </is>
      </c>
      <c r="K4" s="16" t="inlineStr">
        <is>
          <t>Verdict</t>
        </is>
      </c>
    </row>
    <row r="5">
      <c r="A5" s="17" t="inlineStr">
        <is>
          <t>Hatchling</t>
        </is>
      </c>
      <c r="B5" s="17" t="inlineStr">
        <is>
          <t>wheels</t>
        </is>
      </c>
      <c r="C5" s="17" t="n">
        <v>385</v>
      </c>
      <c r="D5" s="17" t="n">
        <v>0.176</v>
      </c>
      <c r="E5" s="17" t="n">
        <v>35</v>
      </c>
      <c r="F5" s="17" t="n">
        <v>10</v>
      </c>
      <c r="G5" s="17" t="n"/>
      <c r="H5" s="17" t="n"/>
      <c r="I5" s="17" t="n"/>
      <c r="J5" s="17" t="n"/>
      <c r="K5" s="17" t="inlineStr">
        <is>
          <t>steps only 10 mm</t>
        </is>
      </c>
    </row>
    <row r="6">
      <c r="A6" s="18" t="inlineStr">
        <is>
          <t>Explorer</t>
        </is>
      </c>
      <c r="B6" s="18" t="inlineStr">
        <is>
          <t>tracks</t>
        </is>
      </c>
      <c r="C6" s="18" t="n">
        <v>432</v>
      </c>
      <c r="D6" s="18" t="n">
        <v>0.225</v>
      </c>
      <c r="E6" s="18" t="n">
        <v>25</v>
      </c>
      <c r="F6" s="18" t="n">
        <v>15</v>
      </c>
      <c r="G6" s="18" t="n"/>
      <c r="H6" s="18" t="n"/>
      <c r="I6" s="18" t="n"/>
      <c r="J6" s="18" t="n"/>
      <c r="K6" s="18" t="inlineStr">
        <is>
          <t>steps only 15 mm</t>
        </is>
      </c>
    </row>
    <row r="7">
      <c r="A7" s="17" t="inlineStr">
        <is>
          <t>Duckling</t>
        </is>
      </c>
      <c r="B7" s="17" t="inlineStr">
        <is>
          <t>legs</t>
        </is>
      </c>
      <c r="C7" s="17" t="n">
        <v>1076</v>
      </c>
      <c r="D7" s="17" t="n"/>
      <c r="E7" s="17" t="n"/>
      <c r="F7" s="17" t="n"/>
      <c r="G7" s="17" t="inlineStr">
        <is>
          <t>yes / yes</t>
        </is>
      </c>
      <c r="H7" s="17" t="n">
        <v>32</v>
      </c>
      <c r="I7" s="17" t="n"/>
      <c r="J7" s="17" t="n"/>
      <c r="K7" s="17" t="inlineStr">
        <is>
          <t>OK</t>
        </is>
      </c>
    </row>
    <row r="8">
      <c r="A8" s="18" t="inlineStr">
        <is>
          <t>Helper</t>
        </is>
      </c>
      <c r="B8" s="18" t="inlineStr">
        <is>
          <t>legs</t>
        </is>
      </c>
      <c r="C8" s="18" t="n">
        <v>1361</v>
      </c>
      <c r="D8" s="18" t="n"/>
      <c r="E8" s="18" t="n"/>
      <c r="F8" s="18" t="n"/>
      <c r="G8" s="18" t="inlineStr">
        <is>
          <t>yes / yes</t>
        </is>
      </c>
      <c r="H8" s="18" t="n">
        <v>36</v>
      </c>
      <c r="I8" s="18" t="inlineStr">
        <is>
          <t>64%</t>
        </is>
      </c>
      <c r="J8" s="18" t="n">
        <v>0.5</v>
      </c>
      <c r="K8" s="18" t="inlineStr">
        <is>
          <t>OK</t>
        </is>
      </c>
    </row>
    <row r="9">
      <c r="A9" s="17" t="inlineStr">
        <is>
          <t>Companion</t>
        </is>
      </c>
      <c r="B9" s="17" t="inlineStr">
        <is>
          <t>legs</t>
        </is>
      </c>
      <c r="C9" s="17" t="n">
        <v>1429</v>
      </c>
      <c r="D9" s="17" t="n"/>
      <c r="E9" s="17" t="n"/>
      <c r="F9" s="17" t="n"/>
      <c r="G9" s="17" t="inlineStr">
        <is>
          <t>yes / yes</t>
        </is>
      </c>
      <c r="H9" s="17" t="n">
        <v>40</v>
      </c>
      <c r="I9" s="17" t="inlineStr">
        <is>
          <t>64%</t>
        </is>
      </c>
      <c r="J9" s="17" t="n">
        <v>0.4</v>
      </c>
      <c r="K9" s="17" t="inlineStr">
        <is>
          <t>OK</t>
        </is>
      </c>
    </row>
    <row r="10">
      <c r="A10" s="18" t="inlineStr">
        <is>
          <t>Hatchling + micro-servo arm</t>
        </is>
      </c>
      <c r="B10" s="18" t="inlineStr">
        <is>
          <t>wheels</t>
        </is>
      </c>
      <c r="C10" s="18" t="n">
        <v>480</v>
      </c>
      <c r="D10" s="18" t="n">
        <v>0.176</v>
      </c>
      <c r="E10" s="18" t="n">
        <v>35</v>
      </c>
      <c r="F10" s="18" t="n">
        <v>10</v>
      </c>
      <c r="G10" s="18" t="n"/>
      <c r="H10" s="18" t="n"/>
      <c r="I10" s="18" t="inlineStr">
        <is>
          <t>93%</t>
        </is>
      </c>
      <c r="J10" s="18" t="n">
        <v>0</v>
      </c>
      <c r="K10" s="18" t="inlineStr">
        <is>
          <t>steps only 10 mm; shoulder near stall</t>
        </is>
      </c>
    </row>
    <row r="11">
      <c r="A11" s="17" t="inlineStr">
        <is>
          <t>Helper + Amazing Hand</t>
        </is>
      </c>
      <c r="B11" s="17" t="inlineStr">
        <is>
          <t>legs</t>
        </is>
      </c>
      <c r="C11" s="17" t="n">
        <v>1716</v>
      </c>
      <c r="D11" s="17" t="n"/>
      <c r="E11" s="17" t="n"/>
      <c r="F11" s="17" t="n"/>
      <c r="G11" s="17" t="inlineStr">
        <is>
          <t>yes / yes</t>
        </is>
      </c>
      <c r="H11" s="17" t="n">
        <v>39</v>
      </c>
      <c r="I11" s="17" t="inlineStr">
        <is>
          <t>100%</t>
        </is>
      </c>
      <c r="J11" s="17" t="n">
        <v>36.5</v>
      </c>
      <c r="K11" s="17" t="inlineStr">
        <is>
          <t>tips over with arm out; shoulder near stall</t>
        </is>
      </c>
    </row>
    <row r="12">
      <c r="A12" s="18" t="inlineStr">
        <is>
          <t>Mini duck on SG90 servos</t>
        </is>
      </c>
      <c r="B12" s="18" t="inlineStr">
        <is>
          <t>legs</t>
        </is>
      </c>
      <c r="C12" s="18" t="n">
        <v>473</v>
      </c>
      <c r="D12" s="18" t="n"/>
      <c r="E12" s="18" t="n"/>
      <c r="F12" s="18" t="n"/>
      <c r="G12" s="18" t="inlineStr">
        <is>
          <t>yes / yes</t>
        </is>
      </c>
      <c r="H12" s="18" t="n">
        <v>100</v>
      </c>
      <c r="I12" s="18" t="n"/>
      <c r="J12" s="18" t="n"/>
      <c r="K12" s="18" t="inlineStr">
        <is>
          <t>knees at stall</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2026-10-29T09:15:49Z</dcterms:created>
  <dcterms:modified xmlns:dcterms="http://purl.org/dc/terms/" xmlns:xsi="http://www.w3.org/2001/XMLSchema-instance" xsi:type="dcterms:W3CDTF">2026-10-29T18:42:22Z</dcterms:modified>
</cp:coreProperties>
</file>