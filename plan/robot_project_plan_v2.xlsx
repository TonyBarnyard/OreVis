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v2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Evolution Roadmap" sheetId="3" state="visible" r:id="rId3"/>
    <sheet xmlns:r="http://schemas.openxmlformats.org/officeDocument/2006/relationships" name="Parts &amp; Costs" sheetId="4" state="visible" r:id="rId4"/>
    <sheet xmlns:r="http://schemas.openxmlformats.org/officeDocument/2006/relationships" name="Software Plan" sheetId="5" state="visible" r:id="rId5"/>
    <sheet xmlns:r="http://schemas.openxmlformats.org/officeDocument/2006/relationships" name="Wiring &amp; Test Log" sheetId="6" state="visible" r:id="rId6"/>
    <sheet xmlns:r="http://schemas.openxmlformats.org/officeDocument/2006/relationships" name="Sandbox Results" sheetId="7" state="visible" r:id="rId7"/>
  </sheets>
  <definedNames>
    <definedName name="_xlnm._FilterDatabase" localSheetId="1" hidden="1">'Project Plan'!$A$9:$F$27</definedName>
    <definedName name="_xlnm._FilterDatabase" localSheetId="3" hidden="1">'Parts &amp; Costs'!$A$4:$J$19</definedName>
    <definedName name="_xlnm._FilterDatabase" localSheetId="4" hidden="1">'Software Plan'!$A$4:$G$13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  <sz val="10"/>
    </font>
    <font>
      <b val="1"/>
      <color rgb="0019465A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8"/>
    </font>
    <font>
      <color rgb="00666666"/>
      <sz val="10"/>
    </font>
    <font>
      <b val="1"/>
      <color rgb="0019465A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9465A"/>
      </patternFill>
    </fill>
    <fill>
      <patternFill patternType="solid">
        <fgColor rgb="00F3F7F8"/>
      </patternFill>
    </fill>
    <fill>
      <patternFill patternType="solid">
        <fgColor rgb="00DDEBF0"/>
      </patternFill>
    </fill>
    <fill>
      <patternFill patternType="solid">
        <fgColor rgb="00FFF4E8"/>
      </patternFill>
    </fill>
  </fills>
  <borders count="4">
    <border>
      <left/>
      <right/>
      <top/>
      <bottom/>
      <diagonal/>
    </border>
    <border>
      <bottom style="thin">
        <color rgb="00D9E2E3"/>
      </bottom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  <border>
      <bottom style="medium">
        <color rgb="0019465A"/>
      </bottom>
    </border>
  </borders>
  <cellStyleXfs count="2">
    <xf numFmtId="0" fontId="0" fillId="0" borderId="0"/>
    <xf numFmtId="0" fontId="5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  <xf numFmtId="164" fontId="0" fillId="3" borderId="1" applyAlignment="1" pivotButton="0" quotePrefix="0" xfId="0">
      <alignment vertical="top" wrapText="1"/>
    </xf>
    <xf numFmtId="0" fontId="5" fillId="3" borderId="1" applyAlignment="1" pivotButton="0" quotePrefix="0" xfId="1">
      <alignment vertical="top" wrapText="1"/>
    </xf>
    <xf numFmtId="0" fontId="3" fillId="4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0" borderId="3" pivotButton="0" quotePrefix="0" xfId="0"/>
    <xf numFmtId="0" fontId="0" fillId="0" borderId="3" pivotButton="0" quotePrefix="0" xfId="0"/>
    <xf numFmtId="0" fontId="0" fillId="5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0" fontId="9" fillId="0" borderId="0" pivotButton="0" quotePrefix="0" xfId="0"/>
    <xf numFmtId="164" fontId="9" fillId="4" borderId="0" pivotButton="0" quotePrefix="0" xfId="0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core-electronics.com.au/raspberry-pi-pico-w-wireless-wifi.html" TargetMode="External" Id="rId1"/><Relationship Type="http://schemas.openxmlformats.org/officeDocument/2006/relationships/hyperlink" Target="https://core-electronics.com.au/pico-display-pack-2-0.html" TargetMode="External" Id="rId2"/><Relationship Type="http://schemas.openxmlformats.org/officeDocument/2006/relationships/hyperlink" Target="https://www.robotgear.com.au/Product.aspx/Details/5513-SparkFun-Motor-Driver-Dual-TB6612FNG-with-Headers" TargetMode="External" Id="rId3"/><Relationship Type="http://schemas.openxmlformats.org/officeDocument/2006/relationships/hyperlink" Target="https://www.amazon.com.au/s?k=N20+6V+geared+motor" TargetMode="External" Id="rId4"/><Relationship Type="http://schemas.openxmlformats.org/officeDocument/2006/relationships/hyperlink" Target="https://www.amazon.com.au/s?k=small+robot+wheels+N20" TargetMode="External" Id="rId5"/><Relationship Type="http://schemas.openxmlformats.org/officeDocument/2006/relationships/hyperlink" Target="https://www.jaycar.com.au/search?text=battery+holder" TargetMode="External" Id="rId6"/><Relationship Type="http://schemas.openxmlformats.org/officeDocument/2006/relationships/hyperlink" Target="https://www.mlab.com.au/products/gravity-vl53l0x-tof-distance-sensor-30-2000mm" TargetMode="External" Id="rId7"/><Relationship Type="http://schemas.openxmlformats.org/officeDocument/2006/relationships/hyperlink" Target="https://www.jaycar.com.au/search?text=servo" TargetMode="External" Id="rId8"/><Relationship Type="http://schemas.openxmlformats.org/officeDocument/2006/relationships/hyperlink" Target="https://www.jaycar.com.au/search?text=USB+data+cable" TargetMode="External" Id="rId9"/><Relationship Type="http://schemas.openxmlformats.org/officeDocument/2006/relationships/hyperlink" Target="https://core-electronics.com.au/search.php?search_query=Raspberry+Pi+Pico+protoboard" TargetMode="External" Id="rId10"/><Relationship Type="http://schemas.openxmlformats.org/officeDocument/2006/relationships/hyperlink" Target="https://www.amazon.com.au/s?k=M3+screws+nuts+spacers+kit" TargetMode="External" Id="rId11"/><Relationship Type="http://schemas.openxmlformats.org/officeDocument/2006/relationships/hyperlink" Target="https://www.printables.com/search/models?q=robot%20chassis" TargetMode="External" Id="rId12"/><Relationship Type="http://schemas.openxmlformats.org/officeDocument/2006/relationships/hyperlink" Target="https://www.amazon.com.au/s?k=small+robot+tracked+chassis+kit" TargetMode="External" Id="rId13"/><Relationship Type="http://schemas.openxmlformats.org/officeDocument/2006/relationships/hyperlink" Target="https://core-electronics.com.au/search.php?search_query=Raspberry+Pi+camera" TargetMode="External" Id="rId14"/><Relationship Type="http://schemas.openxmlformats.org/officeDocument/2006/relationships/hyperlink" Target="https://www.jaycar.com.au/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aspberrypi.com/documentation/microcontrollers/micropython.html" TargetMode="External" Id="rId1"/><Relationship Type="http://schemas.openxmlformats.org/officeDocument/2006/relationships/hyperlink" Target="https://thonny.org/" TargetMode="External" Id="rId2"/><Relationship Type="http://schemas.openxmlformats.org/officeDocument/2006/relationships/hyperlink" Target="https://core-electronics.com.au/pico-display-pack-2-0.html" TargetMode="External" Id="rId3"/><Relationship Type="http://schemas.openxmlformats.org/officeDocument/2006/relationships/hyperlink" Target="https://www.raspberrypi.com/documentation/microcontrollers/pico-series.html" TargetMode="External" Id="rId4"/><Relationship Type="http://schemas.openxmlformats.org/officeDocument/2006/relationships/hyperlink" Target="https://www.mlab.com.au/products/gravity-vl53l0x-tof-distance-sensor-30-2000mm" TargetMode="External" Id="rId5"/><Relationship Type="http://schemas.openxmlformats.org/officeDocument/2006/relationships/hyperlink" Target="https://www.raspberrypi.com/documentation/microcontrollers/micropython.html" TargetMode="External" Id="rId6"/><Relationship Type="http://schemas.openxmlformats.org/officeDocument/2006/relationships/hyperlink" Target="https://www.raspberrypi.com/documentation/microcontrollers/micropython.html" TargetMode="External" Id="rId7"/><Relationship Type="http://schemas.openxmlformats.org/officeDocument/2006/relationships/hyperlink" Target="https://projects.raspberrypi.org/en/projects/introduction-to-the-pico" TargetMode="External" Id="rId8"/><Relationship Type="http://schemas.openxmlformats.org/officeDocument/2006/relationships/hyperlink" Target="https://core-electronics.com.au/search.php?search_query=Raspberry+Pi+camera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80" customWidth="1" min="3" max="3"/>
    <col width="48" customWidth="1" min="4" max="4"/>
  </cols>
  <sheetData>
    <row r="1">
      <c r="A1" s="14" t="inlineStr">
        <is>
          <t>PLAN REVIEW AND ADAPTATIONS (v2)</t>
        </is>
      </c>
    </row>
    <row r="2">
      <c r="A2" s="15" t="inlineStr">
        <is>
          <t>Review of the original plan, adding a walking body, a hand and a voice. Orange rows on other sheets are new in v2.</t>
        </is>
      </c>
    </row>
    <row r="3">
      <c r="A3" s="3" t="inlineStr">
        <is>
          <t>How to use</t>
        </is>
      </c>
      <c r="B3" t="inlineStr">
        <is>
          <t>Try designs in sandbox/index.html first, check them with python sim/bench.py, then follow the stage tasks P19-P32 on Project Plan.</t>
        </is>
      </c>
    </row>
    <row r="5" ht="30" customHeight="1">
      <c r="A5" s="16" t="inlineStr">
        <is>
          <t>Type</t>
        </is>
      </c>
      <c r="B5" s="16" t="inlineStr">
        <is>
          <t>Topic</t>
        </is>
      </c>
      <c r="C5" s="16" t="inlineStr">
        <is>
          <t>Finding</t>
        </is>
      </c>
      <c r="D5" s="16" t="inlineStr">
        <is>
          <t>Change in v2</t>
        </is>
      </c>
    </row>
    <row r="6">
      <c r="A6" s="17" t="inlineStr">
        <is>
          <t>Keep</t>
        </is>
      </c>
      <c r="B6" s="17" t="inlineStr">
        <is>
          <t>Staged, test-each-module-first approach</t>
        </is>
      </c>
      <c r="C6" s="17" t="inlineStr">
        <is>
          <t>This is the right way to build robots. Every later stage in v2 follows the same rule: prove it in the sandbox, then on the bench, then on the floor.</t>
        </is>
      </c>
      <c r="D6" s="17" t="inlineStr">
        <is>
          <t>No change</t>
        </is>
      </c>
    </row>
    <row r="7">
      <c r="A7" s="18" t="inlineStr">
        <is>
          <t>Keep</t>
        </is>
      </c>
      <c r="B7" s="18" t="inlineStr">
        <is>
          <t>Safety rules (wheels raised, dead-man timeout, no motors on GPIO, trusted Wi-Fi only)</t>
        </is>
      </c>
      <c r="C7" s="18" t="inlineStr">
        <is>
          <t>These are correct and they matter more once the robot has legs and an arm. They are copied into every new stage.</t>
        </is>
      </c>
      <c r="D7" s="18" t="inlineStr">
        <is>
          <t>No change</t>
        </is>
      </c>
    </row>
    <row r="8">
      <c r="A8" s="17" t="inlineStr">
        <is>
          <t>Keep</t>
        </is>
      </c>
      <c r="B8" s="17" t="inlineStr">
        <is>
          <t>N20 1:298 motors with TB6612 drivers</t>
        </is>
      </c>
      <c r="C8" s="17" t="inlineStr">
        <is>
          <t>Physics bench: the 385 g Hatchling reaches 0.18 m/s and climbs a 35 degree ramp. Plenty of torque. The TB6612 (1.2 A per channel continuous) suits N20 stall currents.</t>
        </is>
      </c>
      <c r="D8" s="17" t="inlineStr">
        <is>
          <t>No change</t>
        </is>
      </c>
    </row>
    <row r="9">
      <c r="A9" s="18" t="inlineStr">
        <is>
          <t>Adapt</t>
        </is>
      </c>
      <c r="B9" s="18" t="inlineStr">
        <is>
          <t>Ground clearance limits steps to about 10 mm</t>
        </is>
      </c>
      <c r="C9" s="18" t="inlineStr">
        <is>
          <t>Physics bench: wheels mount 10 mm and the tracked version 15 mm (with 44 mm sprockets). Neither manages the 20 mm kerb goal. The belly hits the edge.</t>
        </is>
      </c>
      <c r="D9" s="18" t="inlineStr">
        <is>
          <t>Raise the floor of the shell by 5 to 8 mm, or use bigger wheels. Test again in sim/bench.py.</t>
        </is>
      </c>
    </row>
    <row r="10">
      <c r="A10" s="17" t="inlineStr">
        <is>
          <t>Adapt</t>
        </is>
      </c>
      <c r="B10" s="17" t="inlineStr">
        <is>
          <t>Choose N20 motors with hall encoders</t>
        </is>
      </c>
      <c r="C10" s="17" t="inlineStr">
        <is>
          <t>Encoders count wheel turns. The robot can then drive exact distances, which the digital twin and autonomous tasks need. They cost a few dollars more per motor.</t>
        </is>
      </c>
      <c r="D10" s="17" t="inlineStr">
        <is>
          <t>Change E04 to encoder N20s (6 extra Pico pins)</t>
        </is>
      </c>
    </row>
    <row r="11">
      <c r="A11" s="18" t="inlineStr">
        <is>
          <t>Adapt</t>
        </is>
      </c>
      <c r="B11" s="18" t="inlineStr">
        <is>
          <t>Plan the shell around two brains from day one</t>
        </is>
      </c>
      <c r="C11" s="18" t="inlineStr">
        <is>
          <t>Pico W is right for stage 1 (motors, face, sensor). Video, walking, speech and the hand all need a Linux board. A Pi Zero 2 W is 65 x 30 mm.</t>
        </is>
      </c>
      <c r="D11" s="18" t="inlineStr">
        <is>
          <t>Leave a 70 x 35 mm bay and a 5 V 3 A supply rail in the stage 1 shell</t>
        </is>
      </c>
    </row>
    <row r="12">
      <c r="A12" s="17" t="inlineStr">
        <is>
          <t>Adapt</t>
        </is>
      </c>
      <c r="B12" s="17" t="inlineStr">
        <is>
          <t>Power: move to a 2S (7.4 V) pack with a BMS before stage 3</t>
        </is>
      </c>
      <c r="C12" s="17" t="inlineStr">
        <is>
          <t>Bus servos (STS3215) need about 7.4 V. 4x AA NiMH at 4.8 V is fine for stage 1 only. Add a fuse, a switch and a 5 V buck converter for the Pi.</t>
        </is>
      </c>
      <c r="D12" s="17" t="inlineStr">
        <is>
          <t>New part U07 and U08; supervised charging in a LiPo bag</t>
        </is>
      </c>
    </row>
    <row r="13">
      <c r="A13" s="18" t="inlineStr">
        <is>
          <t>Adapt</t>
        </is>
      </c>
      <c r="B13" s="18" t="inlineStr">
        <is>
          <t>Walking: adopt the Open Duck Mini legs and policy, don't design new legs</t>
        </is>
      </c>
      <c r="C13" s="18" t="inlineStr">
        <is>
          <t>Open Duck Mini is open source (Apache-2.0), about 42 cm tall, uses a Pi Zero 2 W and already has a trained walking policy. Ten STS3215 servos will not fit in a 120 mm body: they need about a 170 mm body.</t>
        </is>
      </c>
      <c r="D13" s="18" t="inlineStr">
        <is>
          <t>Stage 3 = build the duck's legs and put the OreVis shell, face and camera on top. Keep added mass under about 150 g. See sim/OPEN_DUCK.md</t>
        </is>
      </c>
    </row>
    <row r="14">
      <c r="A14" s="17" t="inlineStr">
        <is>
          <t>Adapt</t>
        </is>
      </c>
      <c r="B14" s="17" t="inlineStr">
        <is>
          <t>Use one servo family for legs, arm and hand</t>
        </is>
      </c>
      <c r="C14" s="17" t="inlineStr">
        <is>
          <t>Feetech serial-bus servos (STS3215, SCS0009) share one 3-wire bus and one driver board, and report their angle. Open Duck, the LeRobot SO-101 arm and Pollen's Amazing Hand all use them.</t>
        </is>
      </c>
      <c r="D14" s="17" t="inlineStr">
        <is>
          <t>Standardise on Feetech bus servos for stages 3 to 5</t>
        </is>
      </c>
    </row>
    <row r="15">
      <c r="A15" s="18" t="inlineStr">
        <is>
          <t>Adapt</t>
        </is>
      </c>
      <c r="B15" s="18" t="inlineStr">
        <is>
          <t>Hand: start with a light 3-finger hand, not the full humanoid hand</t>
        </is>
      </c>
      <c r="C15" s="18" t="inlineStr">
        <is>
          <t>Pollen's Amazing Hand is about 400 g. The physics bench shows the 1.36 kg walker tips 44 degrees holding it out. A 45 g 3-finger tendon hand holds a 20 g block at 64% of shoulder stall with no tipping.</t>
        </is>
      </c>
      <c r="D15" s="18" t="inlineStr">
        <is>
          <t>Stage 4 = 3-finger hand. Try the Amazing Hand later on a bench-mounted arm</t>
        </is>
      </c>
    </row>
    <row r="16">
      <c r="A16" s="17" t="inlineStr">
        <is>
          <t>Adapt</t>
        </is>
      </c>
      <c r="B16" s="17" t="inlineStr">
        <is>
          <t>A walking robot must squat to pick things off the floor</t>
        </is>
      </c>
      <c r="C16" s="17" t="inlineStr">
        <is>
          <t>Sandbox: with a 17 cm arm mounted 26 cm up, the Helper only reaches the floor by squatting about 63 degrees at the knee. The bench shows STS3215 knees peak at 36% of stall in that squat, which is fine.</t>
        </is>
      </c>
      <c r="D16" s="17" t="inlineStr">
        <is>
          <t>Add a squat-and-reach behaviour (sandbox already does it)</t>
        </is>
      </c>
    </row>
    <row r="17">
      <c r="A17" s="18" t="inlineStr">
        <is>
          <t>Adapt</t>
        </is>
      </c>
      <c r="B17" s="18" t="inlineStr">
        <is>
          <t>Software: write behaviours once, run them in the twin and on the robot</t>
        </is>
      </c>
      <c r="C17" s="18" t="inlineStr">
        <is>
          <t>Give motors, servos and sensors the same small interface in the sandbox, MuJoCo and the robot. Tested behaviour code can then move to hardware unchanged.</t>
        </is>
      </c>
      <c r="D17" s="18" t="inlineStr">
        <is>
          <t>New software row 10: hal.py</t>
        </is>
      </c>
    </row>
    <row r="18">
      <c r="A18" s="17" t="inlineStr">
        <is>
          <t>Fix</t>
        </is>
      </c>
      <c r="B18" s="17" t="inlineStr">
        <is>
          <t>P04 does not need to wait for parts (P03)</t>
        </is>
      </c>
      <c r="C18" s="17" t="inlineStr">
        <is>
          <t>The computer, Thonny and the sandbox can all be set up while parts ship.</t>
        </is>
      </c>
      <c r="D18" s="17" t="inlineStr">
        <is>
          <t>P04 dependency changed to None</t>
        </is>
      </c>
    </row>
    <row r="19">
      <c r="A19" s="18" t="inlineStr">
        <is>
          <t>Fix</t>
        </is>
      </c>
      <c r="B19" s="18" t="inlineStr">
        <is>
          <t>P18 live video now has a home</t>
        </is>
      </c>
      <c r="C19" s="18" t="inlineStr">
        <is>
          <t>Stage 2 adds the Pi Zero 2 W, which streams the camera. The Pico keeps doing motors and the face.</t>
        </is>
      </c>
      <c r="D19" s="18" t="inlineStr">
        <is>
          <t>P18 linked to stage 2 tasks</t>
        </is>
      </c>
    </row>
  </sheetData>
  <mergeCells count="3">
    <mergeCell ref="A2:F2"/>
    <mergeCell ref="A1:F1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zoomScale="8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72" customWidth="1" min="3" max="3"/>
    <col width="22" customWidth="1" min="4" max="4"/>
    <col width="16" customWidth="1" min="5" max="5"/>
    <col width="16" customWidth="1" min="6" max="6"/>
  </cols>
  <sheetData>
    <row r="1" ht="32" customHeight="1">
      <c r="A1" s="1" t="inlineStr">
        <is>
          <t>ROBOT BUILD PROJECT PLAN</t>
        </is>
      </c>
    </row>
    <row r="2" ht="24" customHeight="1">
      <c r="A2" s="2" t="inlineStr">
        <is>
          <t>Rounded-square robot • Raspberry Pi Pico W • colour face • four wheels underneath • optional tracks later</t>
        </is>
      </c>
    </row>
    <row r="4">
      <c r="A4" s="3" t="inlineStr">
        <is>
          <t>Project goal</t>
        </is>
      </c>
      <c r="B4" s="4" t="inlineStr">
        <is>
          <t>Build a small rounded-square robot with a colour display for animated eyes, four powered wheels, a servo-operated camera mount, an obstacle sensor and phone-app control over Wi-Fi. Start with a wheeled prototype; add tracks and live camera video only after the basics work.</t>
        </is>
      </c>
    </row>
    <row r="5"/>
    <row r="7">
      <c r="A7" s="3" t="inlineStr">
        <is>
          <t>Planning budget (AUD)</t>
        </is>
      </c>
      <c r="B7" t="inlineStr">
        <is>
          <t>See Parts &amp; Costs tab; estimates only, verify current pricing and compatibility before buying.</t>
        </is>
      </c>
    </row>
    <row r="9" ht="30" customHeight="1">
      <c r="A9" s="5" t="inlineStr">
        <is>
          <t>ID</t>
        </is>
      </c>
      <c r="B9" s="5" t="inlineStr">
        <is>
          <t>Stage / task</t>
        </is>
      </c>
      <c r="C9" s="5" t="inlineStr">
        <is>
          <t>Instructions / deliverable</t>
        </is>
      </c>
      <c r="D9" s="5" t="inlineStr">
        <is>
          <t>Dependency</t>
        </is>
      </c>
      <c r="E9" s="5" t="inlineStr">
        <is>
          <t>Estimate</t>
        </is>
      </c>
      <c r="F9" s="5" t="inlineStr">
        <is>
          <t>Status</t>
        </is>
      </c>
    </row>
    <row r="10">
      <c r="A10" s="6" t="inlineStr">
        <is>
          <t>P01</t>
        </is>
      </c>
      <c r="B10" s="6" t="inlineStr">
        <is>
          <t>Confirm design dimensions</t>
        </is>
      </c>
      <c r="C10" s="6" t="inlineStr">
        <is>
          <t>Measure the display, Pico board, motors, wheel diameter, battery and camera mount. Draw the internal layout and wheel openings. Do not finalise the shell before measuring real parts.</t>
        </is>
      </c>
      <c r="D10" s="6" t="inlineStr">
        <is>
          <t>None</t>
        </is>
      </c>
      <c r="E10" s="6" t="inlineStr">
        <is>
          <t>2–4 hours</t>
        </is>
      </c>
      <c r="F10" s="6" t="inlineStr">
        <is>
          <t>Not started</t>
        </is>
      </c>
    </row>
    <row r="11">
      <c r="A11" s="7" t="inlineStr">
        <is>
          <t>P02</t>
        </is>
      </c>
      <c r="B11" s="7" t="inlineStr">
        <is>
          <t>Confirm compatible electronics</t>
        </is>
      </c>
      <c r="C11" s="7" t="inlineStr">
        <is>
          <t>Choose motors and check their stall current against the motor-driver ratings. Confirm display interface/library, servo supply, battery voltage and regulated logic supply.</t>
        </is>
      </c>
      <c r="D11" s="7" t="inlineStr">
        <is>
          <t>P01</t>
        </is>
      </c>
      <c r="E11" s="7" t="inlineStr">
        <is>
          <t>2–3 hours</t>
        </is>
      </c>
      <c r="F11" s="7" t="inlineStr">
        <is>
          <t>Not started</t>
        </is>
      </c>
    </row>
    <row r="12">
      <c r="A12" s="6" t="inlineStr">
        <is>
          <t>P03</t>
        </is>
      </c>
      <c r="B12" s="6" t="inlineStr">
        <is>
          <t>Order essential parts</t>
        </is>
      </c>
      <c r="C12" s="6" t="inlineStr">
        <is>
          <t>Use the Parts &amp; Costs tab. Buy only after checking seller stock, delivery, connectors and voltage/current specs.</t>
        </is>
      </c>
      <c r="D12" s="6" t="inlineStr">
        <is>
          <t>P02</t>
        </is>
      </c>
      <c r="E12" s="6" t="inlineStr">
        <is>
          <t>1 hour</t>
        </is>
      </c>
      <c r="F12" s="6" t="inlineStr">
        <is>
          <t>Not started</t>
        </is>
      </c>
    </row>
    <row r="13">
      <c r="A13" s="7" t="inlineStr">
        <is>
          <t>P04</t>
        </is>
      </c>
      <c r="B13" s="7" t="inlineStr">
        <is>
          <t>Set up development computer</t>
        </is>
      </c>
      <c r="C13" s="7" t="inlineStr">
        <is>
          <t>Install Thonny. Download the correct MicroPython UF2 for Pico W. Connect using a USB data cable; hold BOOTSEL while plugging in, then copy the UF2 file if needed.</t>
        </is>
      </c>
      <c r="D13" s="19" t="inlineStr">
        <is>
          <t>None (v2: start while parts ship)</t>
        </is>
      </c>
      <c r="E13" s="7" t="inlineStr">
        <is>
          <t>1–2 hours</t>
        </is>
      </c>
      <c r="F13" s="7" t="inlineStr">
        <is>
          <t>Not started</t>
        </is>
      </c>
    </row>
    <row r="14">
      <c r="A14" s="6" t="inlineStr">
        <is>
          <t>P05</t>
        </is>
      </c>
      <c r="B14" s="6" t="inlineStr">
        <is>
          <t>First Pico test</t>
        </is>
      </c>
      <c r="C14" s="6" t="inlineStr">
        <is>
          <t>In Thonny, select MicroPython for Pico. Run print('Hello robot'). Save a simple program to the Pico as main.py and confirm it runs after power cycling.</t>
        </is>
      </c>
      <c r="D14" s="6" t="inlineStr">
        <is>
          <t>P04</t>
        </is>
      </c>
      <c r="E14" s="6" t="inlineStr">
        <is>
          <t>1–2 hours</t>
        </is>
      </c>
      <c r="F14" s="6" t="inlineStr">
        <is>
          <t>Not started</t>
        </is>
      </c>
    </row>
    <row r="15">
      <c r="A15" s="7" t="inlineStr">
        <is>
          <t>P06</t>
        </is>
      </c>
      <c r="B15" s="7" t="inlineStr">
        <is>
          <t>Test colour display</t>
        </is>
      </c>
      <c r="C15" s="7" t="inlineStr">
        <is>
          <t>Follow the display manufacturer's examples and library for the exact display model. Display a simple face and two eyes before installing it in the shell.</t>
        </is>
      </c>
      <c r="D15" s="7" t="inlineStr">
        <is>
          <t>P05</t>
        </is>
      </c>
      <c r="E15" s="7" t="inlineStr">
        <is>
          <t>2–4 hours</t>
        </is>
      </c>
      <c r="F15" s="7" t="inlineStr">
        <is>
          <t>Not started</t>
        </is>
      </c>
    </row>
    <row r="16">
      <c r="A16" s="6" t="inlineStr">
        <is>
          <t>P07</t>
        </is>
      </c>
      <c r="B16" s="6" t="inlineStr">
        <is>
          <t>Test one motor channel</t>
        </is>
      </c>
      <c r="C16" s="6" t="inlineStr">
        <is>
          <t>Keep wheels off the ground. Wire one motor through its driver, use a low speed, test forward/reverse, then stop. Never connect a motor directly to Pico GPIO.</t>
        </is>
      </c>
      <c r="D16" s="6" t="inlineStr">
        <is>
          <t>P02, P05</t>
        </is>
      </c>
      <c r="E16" s="6" t="inlineStr">
        <is>
          <t>2–3 hours</t>
        </is>
      </c>
      <c r="F16" s="6" t="inlineStr">
        <is>
          <t>Not started</t>
        </is>
      </c>
    </row>
    <row r="17">
      <c r="A17" s="7" t="inlineStr">
        <is>
          <t>P08</t>
        </is>
      </c>
      <c r="B17" s="7" t="inlineStr">
        <is>
          <t>Test all four motors</t>
        </is>
      </c>
      <c r="C17" s="7" t="inlineStr">
        <is>
          <t>Repeat for all channels. Check motor current, driver temperature, direction and whether the Pico resets when motors start. Use suitable motor power and common ground as required by the circuit.</t>
        </is>
      </c>
      <c r="D17" s="7" t="inlineStr">
        <is>
          <t>P07</t>
        </is>
      </c>
      <c r="E17" s="7" t="inlineStr">
        <is>
          <t>2–4 hours</t>
        </is>
      </c>
      <c r="F17" s="7" t="inlineStr">
        <is>
          <t>Not started</t>
        </is>
      </c>
    </row>
    <row r="18">
      <c r="A18" s="6" t="inlineStr">
        <is>
          <t>P09</t>
        </is>
      </c>
      <c r="B18" s="6" t="inlineStr">
        <is>
          <t>Build base chassis</t>
        </is>
      </c>
      <c r="C18" s="6" t="inlineStr">
        <is>
          <t>Print or make a simple base plate first. Fit four motor mounts underneath, with wheel clearance. Add screw holes and removable electronics/battery mounts.</t>
        </is>
      </c>
      <c r="D18" s="6" t="inlineStr">
        <is>
          <t>P01, P08</t>
        </is>
      </c>
      <c r="E18" s="6" t="inlineStr">
        <is>
          <t>4–8 hours</t>
        </is>
      </c>
      <c r="F18" s="6" t="inlineStr">
        <is>
          <t>Not started</t>
        </is>
      </c>
    </row>
    <row r="19">
      <c r="A19" s="7" t="inlineStr">
        <is>
          <t>P10</t>
        </is>
      </c>
      <c r="B19" s="7" t="inlineStr">
        <is>
          <t>Install battery and wiring</t>
        </is>
      </c>
      <c r="C19" s="7" t="inlineStr">
        <is>
          <t>Secure battery so it cannot move. Keep motor wiring away from wheels. Use a suitable regulated supply for Pico/display and a safe, correctly rated battery arrangement.</t>
        </is>
      </c>
      <c r="D19" s="7" t="inlineStr">
        <is>
          <t>P08, P09</t>
        </is>
      </c>
      <c r="E19" s="7" t="inlineStr">
        <is>
          <t>2–4 hours</t>
        </is>
      </c>
      <c r="F19" s="7" t="inlineStr">
        <is>
          <t>Not started</t>
        </is>
      </c>
    </row>
    <row r="20">
      <c r="A20" s="6" t="inlineStr">
        <is>
          <t>P11</t>
        </is>
      </c>
      <c r="B20" s="6" t="inlineStr">
        <is>
          <t>Add obstacle sensor</t>
        </is>
      </c>
      <c r="C20" s="6" t="inlineStr">
        <is>
          <t>Connect the distance sensor using its datasheet and a compatible logic voltage. Test readings while stationary before adding automatic reactions.</t>
        </is>
      </c>
      <c r="D20" s="6" t="inlineStr">
        <is>
          <t>P05</t>
        </is>
      </c>
      <c r="E20" s="6" t="inlineStr">
        <is>
          <t>2–3 hours</t>
        </is>
      </c>
      <c r="F20" s="6" t="inlineStr">
        <is>
          <t>Not started</t>
        </is>
      </c>
    </row>
    <row r="21">
      <c r="A21" s="7" t="inlineStr">
        <is>
          <t>P12</t>
        </is>
      </c>
      <c r="B21" s="7" t="inlineStr">
        <is>
          <t>Add camera-mount servo</t>
        </is>
      </c>
      <c r="C21" s="7" t="inlineStr">
        <is>
          <t>Power the servo from an appropriate supply, not directly from a Pico GPIO. Connect signal and ground correctly; test limited angles before fitting the camera mount.</t>
        </is>
      </c>
      <c r="D21" s="7" t="inlineStr">
        <is>
          <t>P05, P10</t>
        </is>
      </c>
      <c r="E21" s="7" t="inlineStr">
        <is>
          <t>2–3 hours</t>
        </is>
      </c>
      <c r="F21" s="7" t="inlineStr">
        <is>
          <t>Not started</t>
        </is>
      </c>
    </row>
    <row r="22">
      <c r="A22" s="6" t="inlineStr">
        <is>
          <t>P13</t>
        </is>
      </c>
      <c r="B22" s="6" t="inlineStr">
        <is>
          <t>Build phone-app control</t>
        </is>
      </c>
      <c r="C22" s="6" t="inlineStr">
        <is>
          <t>Use Pico W Wi-Fi for a simple local web page with Forward, Reverse, Left, Right and Stop. Add a timeout so movement stops if commands stop arriving. Use only on a trusted local network.</t>
        </is>
      </c>
      <c r="D22" s="6" t="inlineStr">
        <is>
          <t>P08</t>
        </is>
      </c>
      <c r="E22" s="6" t="inlineStr">
        <is>
          <t>4–8 hours</t>
        </is>
      </c>
      <c r="F22" s="6" t="inlineStr">
        <is>
          <t>Not started</t>
        </is>
      </c>
    </row>
    <row r="23">
      <c r="A23" s="7" t="inlineStr">
        <is>
          <t>P14</t>
        </is>
      </c>
      <c r="B23" s="7" t="inlineStr">
        <is>
          <t>Combine software modules</t>
        </is>
      </c>
      <c r="C23" s="7" t="inlineStr">
        <is>
          <t>Integrate motor, display, sensor, servo and remote-control modules. Keep code separated into files; test each module individually before integration.</t>
        </is>
      </c>
      <c r="D23" s="7" t="inlineStr">
        <is>
          <t>P06, P08, P11, P12, P13</t>
        </is>
      </c>
      <c r="E23" s="7" t="inlineStr">
        <is>
          <t>4–8 hours</t>
        </is>
      </c>
      <c r="F23" s="7" t="inlineStr">
        <is>
          <t>Not started</t>
        </is>
      </c>
    </row>
    <row r="24">
      <c r="A24" s="6" t="inlineStr">
        <is>
          <t>P15</t>
        </is>
      </c>
      <c r="B24" s="6" t="inlineStr">
        <is>
          <t>Safety and driving tests</t>
        </is>
      </c>
      <c r="C24" s="6" t="inlineStr">
        <is>
          <t>First test with wheels raised. Then test slowly in an open area. Confirm Stop works, obstacle response is predictable, wiring is secure and motors/drivers do not overheat.</t>
        </is>
      </c>
      <c r="D24" s="6" t="inlineStr">
        <is>
          <t>P14</t>
        </is>
      </c>
      <c r="E24" s="6" t="inlineStr">
        <is>
          <t>2–4 hours</t>
        </is>
      </c>
      <c r="F24" s="6" t="inlineStr">
        <is>
          <t>Not started</t>
        </is>
      </c>
    </row>
    <row r="25">
      <c r="A25" s="7" t="inlineStr">
        <is>
          <t>P16</t>
        </is>
      </c>
      <c r="B25" s="7" t="inlineStr">
        <is>
          <t>Final shell and appearance</t>
        </is>
      </c>
      <c r="C25" s="7" t="inlineStr">
        <is>
          <t>After the prototype works, print the rounded-square shell with display opening, ventilation, removable cover, four wheel cut-outs and camera-mount fixing points.</t>
        </is>
      </c>
      <c r="D25" s="7" t="inlineStr">
        <is>
          <t>P15</t>
        </is>
      </c>
      <c r="E25" s="7" t="inlineStr">
        <is>
          <t>4–10 hours</t>
        </is>
      </c>
      <c r="F25" s="7" t="inlineStr">
        <is>
          <t>Not started</t>
        </is>
      </c>
    </row>
    <row r="26">
      <c r="A26" s="6" t="inlineStr">
        <is>
          <t>P17</t>
        </is>
      </c>
      <c r="B26" s="6" t="inlineStr">
        <is>
          <t>Optional track conversion</t>
        </is>
      </c>
      <c r="C26" s="6" t="inlineStr">
        <is>
          <t>Only after wheeled version is reliable: design matching drive sprockets/idlers, belt tensioning and brackets. Track kits must match the chassis and motor arrangement.</t>
        </is>
      </c>
      <c r="D26" s="6" t="inlineStr">
        <is>
          <t>P16</t>
        </is>
      </c>
      <c r="E26" s="6" t="inlineStr">
        <is>
          <t>Variable</t>
        </is>
      </c>
      <c r="F26" s="6" t="inlineStr">
        <is>
          <t>Not started</t>
        </is>
      </c>
    </row>
    <row r="27">
      <c r="A27" s="7" t="inlineStr">
        <is>
          <t>P18</t>
        </is>
      </c>
      <c r="B27" s="7" t="inlineStr">
        <is>
          <t>Optional live video</t>
        </is>
      </c>
      <c r="C27" s="19" t="inlineStr">
        <is>
          <t>Pico W is not suited to full conventional camera streaming by itself. Add a separate camera-capable computer/module and camera if live video is required. v2: done in stage 2 with a Pi Zero 2 W (P19-P20).</t>
        </is>
      </c>
      <c r="D27" s="7" t="inlineStr">
        <is>
          <t>P15</t>
        </is>
      </c>
      <c r="E27" s="7" t="inlineStr">
        <is>
          <t>Variable</t>
        </is>
      </c>
      <c r="F27" s="7" t="inlineStr">
        <is>
          <t>Not started</t>
        </is>
      </c>
    </row>
    <row r="29">
      <c r="A29" s="20" t="inlineStr">
        <is>
          <t>v2: evolution stages (see Evolution Roadmap)</t>
        </is>
      </c>
      <c r="B29" s="21" t="n"/>
      <c r="C29" s="21" t="n"/>
      <c r="D29" s="21" t="n"/>
      <c r="E29" s="21" t="n"/>
      <c r="F29" s="21" t="n"/>
    </row>
    <row r="30">
      <c r="A30" s="22" t="inlineStr">
        <is>
          <t>P00</t>
        </is>
      </c>
      <c r="B30" s="22" t="inlineStr">
        <is>
          <t>Try the design in the sandbox</t>
        </is>
      </c>
      <c r="C30" s="22" t="inlineStr">
        <is>
          <t>Open sandbox/index.html. Drive the Hatchling, finish missions 1-2, then try other motors, wheels and batteries. Save the designs you like and compare them.</t>
        </is>
      </c>
      <c r="D30" s="22" t="inlineStr">
        <is>
          <t>None</t>
        </is>
      </c>
      <c r="E30" s="22" t="inlineStr">
        <is>
          <t>1-2 hours</t>
        </is>
      </c>
      <c r="F30" s="22" t="inlineStr">
        <is>
          <t>Not started</t>
        </is>
      </c>
    </row>
    <row r="31">
      <c r="A31" s="22" t="inlineStr">
        <is>
          <t>P19</t>
        </is>
      </c>
      <c r="B31" s="22" t="inlineStr">
        <is>
          <t>Stage 2: add encoders and a Pi Zero 2 W</t>
        </is>
      </c>
      <c r="C31" s="22" t="inlineStr">
        <is>
          <t>Swap to encoder N20s. Mount the Pi Zero 2 W in the reserved bay. Link it to the Pico over UART (TX/RX/GND). The Pico keeps the motors and the dead-man stop.</t>
        </is>
      </c>
      <c r="D31" s="22" t="inlineStr">
        <is>
          <t>P15</t>
        </is>
      </c>
      <c r="E31" s="22" t="inlineStr">
        <is>
          <t>4-6 hours</t>
        </is>
      </c>
      <c r="F31" s="22" t="inlineStr">
        <is>
          <t>Not started</t>
        </is>
      </c>
    </row>
    <row r="32">
      <c r="A32" s="22" t="inlineStr">
        <is>
          <t>P20</t>
        </is>
      </c>
      <c r="B32" s="22" t="inlineStr">
        <is>
          <t>Stage 2: live camera</t>
        </is>
      </c>
      <c r="C32" s="22" t="inlineStr">
        <is>
          <t>Fit the Pi camera to the spiral mount. Stream video on the local network only. Check the stream does not slow the Pico's stop command.</t>
        </is>
      </c>
      <c r="D32" s="22" t="inlineStr">
        <is>
          <t>P19</t>
        </is>
      </c>
      <c r="E32" s="22" t="inlineStr">
        <is>
          <t>3-5 hours</t>
        </is>
      </c>
      <c r="F32" s="22" t="inlineStr">
        <is>
          <t>Not started</t>
        </is>
      </c>
    </row>
    <row r="33">
      <c r="A33" s="22" t="inlineStr">
        <is>
          <t>P21</t>
        </is>
      </c>
      <c r="B33" s="22" t="inlineStr">
        <is>
          <t>Stage 2: tracks</t>
        </is>
      </c>
      <c r="C33" s="22" t="inlineStr">
        <is>
          <t>Fit 44 mm sprockets and track panels (P17). Run sim/bench.py on your measured design first; raise ground clearance until the bench mounts 20 mm.</t>
        </is>
      </c>
      <c r="D33" s="22" t="inlineStr">
        <is>
          <t>P17, P19</t>
        </is>
      </c>
      <c r="E33" s="22" t="inlineStr">
        <is>
          <t>Variable</t>
        </is>
      </c>
      <c r="F33" s="22" t="inlineStr">
        <is>
          <t>Not started</t>
        </is>
      </c>
    </row>
    <row r="34">
      <c r="A34" s="22" t="inlineStr">
        <is>
          <t>P22</t>
        </is>
      </c>
      <c r="B34" s="22" t="inlineStr">
        <is>
          <t>Stage 3: run Open Duck in simulation</t>
        </is>
      </c>
      <c r="C34" s="22" t="inlineStr">
        <is>
          <t>Install uv and Open_Duck_Playground. Run mujoco_infer.py with a trained policy and watch the duck walk. No hardware needed.</t>
        </is>
      </c>
      <c r="D34" s="22" t="inlineStr">
        <is>
          <t>P00</t>
        </is>
      </c>
      <c r="E34" s="22" t="inlineStr">
        <is>
          <t>2-3 hours</t>
        </is>
      </c>
      <c r="F34" s="22" t="inlineStr">
        <is>
          <t>Not started</t>
        </is>
      </c>
    </row>
    <row r="35">
      <c r="A35" s="22" t="inlineStr">
        <is>
          <t>P23</t>
        </is>
      </c>
      <c r="B35" s="22" t="inlineStr">
        <is>
          <t>Stage 3: build the duck legs</t>
        </is>
      </c>
      <c r="C35" s="22" t="inlineStr">
        <is>
          <t>Print and assemble the Open Duck Mini v2 legs. Set each STS3215 servo ID and test it alone with the bus board before assembly.</t>
        </is>
      </c>
      <c r="D35" s="22" t="inlineStr">
        <is>
          <t>P22</t>
        </is>
      </c>
      <c r="E35" s="22" t="inlineStr">
        <is>
          <t>15-25 hours</t>
        </is>
      </c>
      <c r="F35" s="22" t="inlineStr">
        <is>
          <t>Not started</t>
        </is>
      </c>
    </row>
    <row r="36">
      <c r="A36" s="22" t="inlineStr">
        <is>
          <t>P24</t>
        </is>
      </c>
      <c r="B36" s="22" t="inlineStr">
        <is>
          <t>Stage 3: power and IMU</t>
        </is>
      </c>
      <c r="C36" s="22" t="inlineStr">
        <is>
          <t>2S pack with BMS, fuse, switch and 5 V 3 A buck for the Pi. Fit the BNO055 IMU near the centre of the body and test it.</t>
        </is>
      </c>
      <c r="D36" s="22" t="inlineStr">
        <is>
          <t>P23</t>
        </is>
      </c>
      <c r="E36" s="22" t="inlineStr">
        <is>
          <t>3-5 hours</t>
        </is>
      </c>
      <c r="F36" s="22" t="inlineStr">
        <is>
          <t>Not started</t>
        </is>
      </c>
    </row>
    <row r="37">
      <c r="A37" s="22" t="inlineStr">
        <is>
          <t>P25</t>
        </is>
      </c>
      <c r="B37" s="22" t="inlineStr">
        <is>
          <t>Stage 3: first steps</t>
        </is>
      </c>
      <c r="C37" s="22" t="inlineStr">
        <is>
          <t>Follow the Open_Duck_Mini_Runtime setup, find joint offsets, then run the walk policy on a soft floor with a hand ready to catch.</t>
        </is>
      </c>
      <c r="D37" s="22" t="inlineStr">
        <is>
          <t>P24</t>
        </is>
      </c>
      <c r="E37" s="22" t="inlineStr">
        <is>
          <t>4-8 hours</t>
        </is>
      </c>
      <c r="F37" s="22" t="inlineStr">
        <is>
          <t>Not started</t>
        </is>
      </c>
    </row>
    <row r="38">
      <c r="A38" s="22" t="inlineStr">
        <is>
          <t>P26</t>
        </is>
      </c>
      <c r="B38" s="22" t="inlineStr">
        <is>
          <t>Stage 3: OreVis head on the duck</t>
        </is>
      </c>
      <c r="C38" s="22" t="inlineStr">
        <is>
          <t>Mount the shell, face display and camera on top. Keep added mass under about 150 g and centred; re-check walking.</t>
        </is>
      </c>
      <c r="D38" s="22" t="inlineStr">
        <is>
          <t>P25</t>
        </is>
      </c>
      <c r="E38" s="22" t="inlineStr">
        <is>
          <t>4-8 hours</t>
        </is>
      </c>
      <c r="F38" s="22" t="inlineStr">
        <is>
          <t>Not started</t>
        </is>
      </c>
    </row>
    <row r="39">
      <c r="A39" s="22" t="inlineStr">
        <is>
          <t>P27</t>
        </is>
      </c>
      <c r="B39" s="22" t="inlineStr">
        <is>
          <t>Stage 4: arm and 3-finger hand</t>
        </is>
      </c>
      <c r="C39" s="22" t="inlineStr">
        <is>
          <t>Print the 4-servo arm and tendon hand. Run sim/bench.py with your real masses before printing. Test the arm clamped to the bench first.</t>
        </is>
      </c>
      <c r="D39" s="22" t="inlineStr">
        <is>
          <t>P26</t>
        </is>
      </c>
      <c r="E39" s="22" t="inlineStr">
        <is>
          <t>10-15 hours</t>
        </is>
      </c>
      <c r="F39" s="22" t="inlineStr">
        <is>
          <t>Not started</t>
        </is>
      </c>
    </row>
    <row r="40">
      <c r="A40" s="22" t="inlineStr">
        <is>
          <t>P28</t>
        </is>
      </c>
      <c r="B40" s="22" t="inlineStr">
        <is>
          <t>Stage 4: squat-and-reach</t>
        </is>
      </c>
      <c r="C40" s="22" t="inlineStr">
        <is>
          <t>Program the squat, reach, grip and lift sequence (the sandbox shows the steps). Test it standing still before trying it while walking.</t>
        </is>
      </c>
      <c r="D40" s="22" t="inlineStr">
        <is>
          <t>P27</t>
        </is>
      </c>
      <c r="E40" s="22" t="inlineStr">
        <is>
          <t>6-10 hours</t>
        </is>
      </c>
      <c r="F40" s="22" t="inlineStr">
        <is>
          <t>Not started</t>
        </is>
      </c>
    </row>
    <row r="41">
      <c r="A41" s="22" t="inlineStr">
        <is>
          <t>P29</t>
        </is>
      </c>
      <c r="B41" s="22" t="inlineStr">
        <is>
          <t>Stage 4: retrain walking with the arm</t>
        </is>
      </c>
      <c r="C41" s="22" t="inlineStr">
        <is>
          <t>Copy open_duck_mini_v2 in the Playground, add the arm and hand mass, train, and test in MuJoCo before the robot.</t>
        </is>
      </c>
      <c r="D41" s="22" t="inlineStr">
        <is>
          <t>P27</t>
        </is>
      </c>
      <c r="E41" s="22" t="inlineStr">
        <is>
          <t>1-2 days (GPU)</t>
        </is>
      </c>
      <c r="F41" s="22" t="inlineStr">
        <is>
          <t>Not started</t>
        </is>
      </c>
    </row>
    <row r="42">
      <c r="A42" s="22" t="inlineStr">
        <is>
          <t>P30</t>
        </is>
      </c>
      <c r="B42" s="22" t="inlineStr">
        <is>
          <t>Stage 5: Pi 5, microphone and speaker</t>
        </is>
      </c>
      <c r="C42" s="22" t="inlineStr">
        <is>
          <t>Swap the brain to a Pi 5. Add an I2S amp and speaker and a USB microphone. Test speech in and out with the robot standing still.</t>
        </is>
      </c>
      <c r="D42" s="22" t="inlineStr">
        <is>
          <t>P28</t>
        </is>
      </c>
      <c r="E42" s="22" t="inlineStr">
        <is>
          <t>4-6 hours</t>
        </is>
      </c>
      <c r="F42" s="22" t="inlineStr">
        <is>
          <t>Not started</t>
        </is>
      </c>
    </row>
    <row r="43">
      <c r="A43" s="22" t="inlineStr">
        <is>
          <t>P31</t>
        </is>
      </c>
      <c r="B43" s="22" t="inlineStr">
        <is>
          <t>Stage 5: voice commands</t>
        </is>
      </c>
      <c r="C43" s="22" t="inlineStr">
        <is>
          <t>Map spoken requests to the same commands the sandbox uses (pick red, place blue, go to pad). Always obey 'stop' first.</t>
        </is>
      </c>
      <c r="D43" s="22" t="inlineStr">
        <is>
          <t>P30</t>
        </is>
      </c>
      <c r="E43" s="22" t="inlineStr">
        <is>
          <t>6-10 hours</t>
        </is>
      </c>
      <c r="F43" s="22" t="inlineStr">
        <is>
          <t>Not started</t>
        </is>
      </c>
    </row>
    <row r="44">
      <c r="A44" s="22" t="inlineStr">
        <is>
          <t>P32</t>
        </is>
      </c>
      <c r="B44" s="22" t="inlineStr">
        <is>
          <t>Stage 5: first autonomous task</t>
        </is>
      </c>
      <c r="C44" s="22" t="inlineStr">
        <is>
          <t>Tidy-up: find coloured blocks with the camera, carry each to its bin. Run it in the sandbox until it never fails, then on the real floor.</t>
        </is>
      </c>
      <c r="D44" s="22" t="inlineStr">
        <is>
          <t>P31</t>
        </is>
      </c>
      <c r="E44" s="22" t="inlineStr">
        <is>
          <t>Variable</t>
        </is>
      </c>
      <c r="F44" s="22" t="inlineStr">
        <is>
          <t>Not started</t>
        </is>
      </c>
    </row>
  </sheetData>
  <autoFilter ref="A9:F27"/>
  <mergeCells count="4">
    <mergeCell ref="A2:F2"/>
    <mergeCell ref="B4:F5"/>
    <mergeCell ref="A1:F1"/>
    <mergeCell ref="B7:F7"/>
  </mergeCells>
  <conditionalFormatting sqref="F10:F27">
    <cfRule type="expression" priority="1" dxfId="0">
      <formula>F10="Complete"</formula>
    </cfRule>
  </conditionalFormatting>
  <dataValidations count="2">
    <dataValidation sqref="F10:F27" showDropDown="0" showInputMessage="0" showErrorMessage="0" allowBlank="0" type="list">
      <formula1>"Not started,In progress,Blocked,Complete"</formula1>
    </dataValidation>
    <dataValidation sqref="F30:F44" showDropDown="0" showInputMessage="0" showErrorMessage="0" allowBlank="0" type="list">
      <formula1>"Not started,In progress,Blocked,Complete"</formula1>
    </dataValidation>
  </dataValidation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20" customWidth="1" min="4" max="4"/>
    <col width="14" customWidth="1" min="5" max="5"/>
    <col width="32" customWidth="1" min="6" max="6"/>
    <col width="44" customWidth="1" min="7" max="7"/>
    <col width="12" customWidth="1" min="8" max="8"/>
    <col width="12" customWidth="1" min="9" max="9"/>
  </cols>
  <sheetData>
    <row r="1">
      <c r="A1" s="14" t="inlineStr">
        <is>
          <t>EVOLUTION ROADMAP</t>
        </is>
      </c>
    </row>
    <row r="2">
      <c r="A2" s="15" t="inlineStr">
        <is>
          <t>Each stage keeps the last one working. Mass and AUD come from the sandbox design model (planning estimates).</t>
        </is>
      </c>
    </row>
    <row r="4" ht="30" customHeight="1">
      <c r="A4" s="16" t="inlineStr">
        <is>
          <t>Stage</t>
        </is>
      </c>
      <c r="B4" s="16" t="inlineStr">
        <is>
          <t>Name</t>
        </is>
      </c>
      <c r="C4" s="16" t="inlineStr">
        <is>
          <t>What it adds</t>
        </is>
      </c>
      <c r="D4" s="16" t="inlineStr">
        <is>
          <t>Brain</t>
        </is>
      </c>
      <c r="E4" s="16" t="inlineStr">
        <is>
          <t>Moves on</t>
        </is>
      </c>
      <c r="F4" s="16" t="inlineStr">
        <is>
          <t>New abilities</t>
        </is>
      </c>
      <c r="G4" s="16" t="inlineStr">
        <is>
          <t>Gate test before moving on</t>
        </is>
      </c>
      <c r="H4" s="16" t="inlineStr">
        <is>
          <t>Mass</t>
        </is>
      </c>
      <c r="I4" s="16" t="inlineStr">
        <is>
          <t>Parts AUD</t>
        </is>
      </c>
    </row>
    <row r="5">
      <c r="A5" s="17" t="inlineStr">
        <is>
          <t>1</t>
        </is>
      </c>
      <c r="B5" s="17" t="inlineStr">
        <is>
          <t>Hatchling</t>
        </is>
      </c>
      <c r="C5" s="17" t="inlineStr">
        <is>
          <t>The original plan: rounded-square body, four wheels, Pico W, colour face, VL53L0X, camera tilt servo, phone control.</t>
        </is>
      </c>
      <c r="D5" s="17" t="inlineStr">
        <is>
          <t>Pico W</t>
        </is>
      </c>
      <c r="E5" s="17" t="inlineStr">
        <is>
          <t>4x N20 wheels</t>
        </is>
      </c>
      <c r="F5" s="17" t="inlineStr">
        <is>
          <t>Drive, face, stop for obstacles</t>
        </is>
      </c>
      <c r="G5" s="17" t="inlineStr">
        <is>
          <t>Sandbox missions 1-2; bench: 15 degree ramp</t>
        </is>
      </c>
      <c r="H5" s="17" t="inlineStr">
        <is>
          <t>385 g</t>
        </is>
      </c>
      <c r="I5" s="17" t="inlineStr">
        <is>
          <t>$176-377</t>
        </is>
      </c>
    </row>
    <row r="6">
      <c r="A6" s="18" t="inlineStr">
        <is>
          <t>2</t>
        </is>
      </c>
      <c r="B6" s="18" t="inlineStr">
        <is>
          <t>Explorer</t>
        </is>
      </c>
      <c r="C6" s="18" t="inlineStr">
        <is>
          <t>Track panels on 44 mm sprockets, Pi Zero 2 W + camera for live video. Encoders for exact moves.</t>
        </is>
      </c>
      <c r="D6" s="18" t="inlineStr">
        <is>
          <t>Pico W + Pi Zero 2 W</t>
        </is>
      </c>
      <c r="E6" s="18" t="inlineStr">
        <is>
          <t>Tracks</t>
        </is>
      </c>
      <c r="F6" s="18" t="inlineStr">
        <is>
          <t>Live video, kerbs, mapping the room</t>
        </is>
      </c>
      <c r="G6" s="18" t="inlineStr">
        <is>
          <t>Bench: step &gt;= 20 mm (needs more clearance)</t>
        </is>
      </c>
      <c r="H6" s="18" t="inlineStr">
        <is>
          <t>432 g</t>
        </is>
      </c>
      <c r="I6" s="18" t="inlineStr">
        <is>
          <t>$256-524</t>
        </is>
      </c>
    </row>
    <row r="7">
      <c r="A7" s="17" t="inlineStr">
        <is>
          <t>3</t>
        </is>
      </c>
      <c r="B7" s="17" t="inlineStr">
        <is>
          <t>Duckling</t>
        </is>
      </c>
      <c r="C7" s="17" t="inlineStr">
        <is>
          <t>Grows legs: Open Duck Mini v2 legs (10x STS3215), BNO055 IMU, 2S battery. OreVis shell becomes the head and body.</t>
        </is>
      </c>
      <c r="D7" s="17" t="inlineStr">
        <is>
          <t>Pi Zero 2 W</t>
        </is>
      </c>
      <c r="E7" s="17" t="inlineStr">
        <is>
          <t>Two legs</t>
        </is>
      </c>
      <c r="F7" s="17" t="inlineStr">
        <is>
          <t>Walks with the Open Duck policy</t>
        </is>
      </c>
      <c r="G7" s="17" t="inlineStr">
        <is>
          <t>Bench: stand + squat; Open Duck MuJoCo inference walks</t>
        </is>
      </c>
      <c r="H7" s="17" t="inlineStr">
        <is>
          <t>about 1.1 kg</t>
        </is>
      </c>
      <c r="I7" s="17" t="inlineStr">
        <is>
          <t>$503-875</t>
        </is>
      </c>
    </row>
    <row r="8">
      <c r="A8" s="18" t="inlineStr">
        <is>
          <t>4</t>
        </is>
      </c>
      <c r="B8" s="18" t="inlineStr">
        <is>
          <t>Helper</t>
        </is>
      </c>
      <c r="C8" s="18" t="inlineStr">
        <is>
          <t>Adds a 4-servo STS3215 arm and a 3-finger tendon hand on the right shoulder.</t>
        </is>
      </c>
      <c r="D8" s="18" t="inlineStr">
        <is>
          <t>Pi Zero 2 W</t>
        </is>
      </c>
      <c r="E8" s="18" t="inlineStr">
        <is>
          <t>Two legs</t>
        </is>
      </c>
      <c r="F8" s="18" t="inlineStr">
        <is>
          <t>Squat, pick a block, carry it to a bin</t>
        </is>
      </c>
      <c r="G8" s="18" t="inlineStr">
        <is>
          <t>Sandbox: Tidy-up mission; bench: arm hold, no tipping</t>
        </is>
      </c>
      <c r="H8" s="18" t="inlineStr">
        <is>
          <t>about 1.4 kg</t>
        </is>
      </c>
      <c r="I8" s="18" t="inlineStr">
        <is>
          <t>$621-1075</t>
        </is>
      </c>
    </row>
    <row r="9">
      <c r="A9" s="17" t="inlineStr">
        <is>
          <t>5</t>
        </is>
      </c>
      <c r="B9" s="17" t="inlineStr">
        <is>
          <t>Companion</t>
        </is>
      </c>
      <c r="C9" s="17" t="inlineStr">
        <is>
          <t>Pi 5 brain, microphone and speaker. Talks, listens and plans simple jobs.</t>
        </is>
      </c>
      <c r="D9" s="17" t="inlineStr">
        <is>
          <t>Pi 5 (4 GB)</t>
        </is>
      </c>
      <c r="E9" s="17" t="inlineStr">
        <is>
          <t>Two legs</t>
        </is>
      </c>
      <c r="F9" s="17" t="inlineStr">
        <is>
          <t>Talk, follow spoken requests, do tasks alone</t>
        </is>
      </c>
      <c r="G9" s="17" t="inlineStr">
        <is>
          <t>Sandbox: talk and tidy missions</t>
        </is>
      </c>
      <c r="H9" s="17" t="inlineStr">
        <is>
          <t>about 1.4 kg</t>
        </is>
      </c>
      <c r="I9" s="17" t="inlineStr">
        <is>
          <t>$711-1200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16" customWidth="1" min="4" max="4"/>
    <col width="17" customWidth="1" min="5" max="5"/>
    <col width="17" customWidth="1" min="6" max="6"/>
    <col width="58" customWidth="1" min="7" max="7"/>
    <col width="21" customWidth="1" min="8" max="8"/>
    <col width="13" customWidth="1" min="9" max="9"/>
    <col width="13" customWidth="1" min="10" max="10"/>
  </cols>
  <sheetData>
    <row r="1" ht="32" customHeight="1">
      <c r="A1" s="1" t="inlineStr">
        <is>
          <t>PARTS SUPPLY &amp; COSTS</t>
        </is>
      </c>
    </row>
    <row r="2" ht="24" customHeight="1">
      <c r="A2" s="2" t="inlineStr">
        <is>
          <t>AUD estimates for planning only. Confirm exact model, electrical compatibility, shipping and stock before ordering.</t>
        </is>
      </c>
    </row>
    <row r="4" ht="30" customHeight="1">
      <c r="A4" s="5" t="inlineStr">
        <is>
          <t>ID</t>
        </is>
      </c>
      <c r="B4" s="5" t="inlineStr">
        <is>
          <t>Part / quantity</t>
        </is>
      </c>
      <c r="C4" s="5" t="inlineStr">
        <is>
          <t>What to check</t>
        </is>
      </c>
      <c r="D4" s="5" t="inlineStr">
        <is>
          <t>Low estimate (AUD)</t>
        </is>
      </c>
      <c r="E4" s="5" t="inlineStr">
        <is>
          <t>High estimate (AUD)</t>
        </is>
      </c>
      <c r="F4" s="5" t="inlineStr">
        <is>
          <t>Budget used (AUD)</t>
        </is>
      </c>
      <c r="G4" s="5" t="inlineStr">
        <is>
          <t>Supplier / search link</t>
        </is>
      </c>
      <c r="H4" s="5" t="inlineStr">
        <is>
          <t>Essential?</t>
        </is>
      </c>
      <c r="I4" s="5" t="inlineStr">
        <is>
          <t>Ordered?</t>
        </is>
      </c>
      <c r="J4" s="5" t="inlineStr">
        <is>
          <t>Received?</t>
        </is>
      </c>
    </row>
    <row r="5">
      <c r="A5" s="7" t="inlineStr">
        <is>
          <t>E01</t>
        </is>
      </c>
      <c r="B5" s="7" t="inlineStr">
        <is>
          <t>Raspberry Pi Pico W × 1</t>
        </is>
      </c>
      <c r="C5" s="7" t="inlineStr">
        <is>
          <t>Wi-Fi model; headers may need soldering depending on variant.</t>
        </is>
      </c>
      <c r="D5" s="8" t="n">
        <v>9.5</v>
      </c>
      <c r="E5" s="8" t="n">
        <v>18</v>
      </c>
      <c r="F5" s="8">
        <f>D5</f>
        <v/>
      </c>
      <c r="G5" s="9" t="inlineStr">
        <is>
          <t>https://core-electronics.com.au/raspberry-pi-pico-w-wireless-wifi.html</t>
        </is>
      </c>
      <c r="H5" s="7" t="inlineStr">
        <is>
          <t>Yes</t>
        </is>
      </c>
      <c r="I5" s="7" t="inlineStr">
        <is>
          <t>No</t>
        </is>
      </c>
      <c r="J5" s="7" t="inlineStr">
        <is>
          <t>No</t>
        </is>
      </c>
    </row>
    <row r="6">
      <c r="A6" s="6" t="inlineStr">
        <is>
          <t>E02</t>
        </is>
      </c>
      <c r="B6" s="6" t="inlineStr">
        <is>
          <t>Pico Display Pack 2.0 × 1</t>
        </is>
      </c>
      <c r="C6" s="6" t="inlineStr">
        <is>
          <t>Confirm exact model and library; approx 56 × 35 mm board footprint.</t>
        </is>
      </c>
      <c r="D6" s="10" t="n">
        <v>30</v>
      </c>
      <c r="E6" s="10" t="n">
        <v>45</v>
      </c>
      <c r="F6" s="10">
        <f>D6</f>
        <v/>
      </c>
      <c r="G6" s="11" t="inlineStr">
        <is>
          <t>https://core-electronics.com.au/pico-display-pack-2-0.html</t>
        </is>
      </c>
      <c r="H6" s="6" t="inlineStr">
        <is>
          <t>Yes</t>
        </is>
      </c>
      <c r="I6" s="6" t="inlineStr">
        <is>
          <t>No</t>
        </is>
      </c>
      <c r="J6" s="6" t="inlineStr">
        <is>
          <t>No</t>
        </is>
      </c>
    </row>
    <row r="7">
      <c r="A7" s="7" t="inlineStr">
        <is>
          <t>E03</t>
        </is>
      </c>
      <c r="B7" s="7" t="inlineStr">
        <is>
          <t>Dual-channel motor driver boards × 2 (provisional)</t>
        </is>
      </c>
      <c r="C7" s="7" t="inlineStr">
        <is>
          <t>Choose only after confirming motor voltage and stall current; one board may drive two motors if rated appropriately.</t>
        </is>
      </c>
      <c r="D7" s="8" t="n">
        <v>25</v>
      </c>
      <c r="E7" s="8" t="n">
        <v>55</v>
      </c>
      <c r="F7" s="8">
        <f>D7</f>
        <v/>
      </c>
      <c r="G7" s="9" t="inlineStr">
        <is>
          <t>https://www.robotgear.com.au/Product.aspx/Details/5513-SparkFun-Motor-Driver-Dual-TB6612FNG-with-Headers</t>
        </is>
      </c>
      <c r="H7" s="7" t="inlineStr">
        <is>
          <t>Yes</t>
        </is>
      </c>
      <c r="I7" s="7" t="inlineStr">
        <is>
          <t>No</t>
        </is>
      </c>
      <c r="J7" s="7" t="inlineStr">
        <is>
          <t>No</t>
        </is>
      </c>
    </row>
    <row r="8">
      <c r="A8" s="6" t="inlineStr">
        <is>
          <t>E04</t>
        </is>
      </c>
      <c r="B8" s="6" t="inlineStr">
        <is>
          <t>Geared DC motors × 4</t>
        </is>
      </c>
      <c r="C8" s="6" t="inlineStr">
        <is>
          <t>Matching voltage, shaft, speed/torque and stall current. Avoid choosing by appearance alone.</t>
        </is>
      </c>
      <c r="D8" s="10" t="n">
        <v>30</v>
      </c>
      <c r="E8" s="10" t="n">
        <v>60</v>
      </c>
      <c r="F8" s="10">
        <f>D8</f>
        <v/>
      </c>
      <c r="G8" s="11" t="inlineStr">
        <is>
          <t>https://www.amazon.com.au/s?k=N20+6V+geared+motor</t>
        </is>
      </c>
      <c r="H8" s="6" t="inlineStr">
        <is>
          <t>Yes</t>
        </is>
      </c>
      <c r="I8" s="6" t="inlineStr">
        <is>
          <t>No</t>
        </is>
      </c>
      <c r="J8" s="6" t="inlineStr">
        <is>
          <t>No</t>
        </is>
      </c>
    </row>
    <row r="9">
      <c r="A9" s="7" t="inlineStr">
        <is>
          <t>E05</t>
        </is>
      </c>
      <c r="B9" s="7" t="inlineStr">
        <is>
          <t>Wheels and hubs × 4</t>
        </is>
      </c>
      <c r="C9" s="7" t="inlineStr">
        <is>
          <t>Hub must fit exact motor shaft; confirm diameter and body clearance.</t>
        </is>
      </c>
      <c r="D9" s="8" t="n">
        <v>10</v>
      </c>
      <c r="E9" s="8" t="n">
        <v>25</v>
      </c>
      <c r="F9" s="8">
        <f>D9</f>
        <v/>
      </c>
      <c r="G9" s="9" t="inlineStr">
        <is>
          <t>https://www.amazon.com.au/s?k=small+robot+wheels+N20</t>
        </is>
      </c>
      <c r="H9" s="7" t="inlineStr">
        <is>
          <t>Yes</t>
        </is>
      </c>
      <c r="I9" s="7" t="inlineStr">
        <is>
          <t>No</t>
        </is>
      </c>
      <c r="J9" s="7" t="inlineStr">
        <is>
          <t>No</t>
        </is>
      </c>
    </row>
    <row r="10">
      <c r="A10" s="6" t="inlineStr">
        <is>
          <t>E06</t>
        </is>
      </c>
      <c r="B10" s="6" t="inlineStr">
        <is>
          <t>Battery pack/holder and power wiring × 1 set</t>
        </is>
      </c>
      <c r="C10" s="6" t="inlineStr">
        <is>
          <t>Voltage and current must suit motors and driver; separate regulated supply for logic may be needed.</t>
        </is>
      </c>
      <c r="D10" s="10" t="n">
        <v>20</v>
      </c>
      <c r="E10" s="10" t="n">
        <v>40</v>
      </c>
      <c r="F10" s="10">
        <f>D10</f>
        <v/>
      </c>
      <c r="G10" s="11" t="inlineStr">
        <is>
          <t>https://www.jaycar.com.au/search?text=battery+holder</t>
        </is>
      </c>
      <c r="H10" s="6" t="inlineStr">
        <is>
          <t>Yes</t>
        </is>
      </c>
      <c r="I10" s="6" t="inlineStr">
        <is>
          <t>No</t>
        </is>
      </c>
      <c r="J10" s="6" t="inlineStr">
        <is>
          <t>No</t>
        </is>
      </c>
    </row>
    <row r="11">
      <c r="A11" s="7" t="inlineStr">
        <is>
          <t>E07</t>
        </is>
      </c>
      <c r="B11" s="7" t="inlineStr">
        <is>
          <t>Distance sensor × 1</t>
        </is>
      </c>
      <c r="C11" s="7" t="inlineStr">
        <is>
          <t>VL53L0X or compatible module; check logic voltage and library.</t>
        </is>
      </c>
      <c r="D11" s="8" t="n">
        <v>10</v>
      </c>
      <c r="E11" s="8" t="n">
        <v>25</v>
      </c>
      <c r="F11" s="8">
        <f>D11</f>
        <v/>
      </c>
      <c r="G11" s="9" t="inlineStr">
        <is>
          <t>https://www.mlab.com.au/products/gravity-vl53l0x-tof-distance-sensor-30-2000mm</t>
        </is>
      </c>
      <c r="H11" s="7" t="inlineStr">
        <is>
          <t>Optional but recommended</t>
        </is>
      </c>
      <c r="I11" s="7" t="inlineStr">
        <is>
          <t>No</t>
        </is>
      </c>
      <c r="J11" s="7" t="inlineStr">
        <is>
          <t>No</t>
        </is>
      </c>
    </row>
    <row r="12">
      <c r="A12" s="6" t="inlineStr">
        <is>
          <t>E08</t>
        </is>
      </c>
      <c r="B12" s="6" t="inlineStr">
        <is>
          <t>Micro servo × 1</t>
        </is>
      </c>
      <c r="C12" s="6" t="inlineStr">
        <is>
          <t>For camera mount; use a suitable servo supply and shared ground as required.</t>
        </is>
      </c>
      <c r="D12" s="10" t="n">
        <v>5</v>
      </c>
      <c r="E12" s="10" t="n">
        <v>15</v>
      </c>
      <c r="F12" s="10">
        <f>D12</f>
        <v/>
      </c>
      <c r="G12" s="11" t="inlineStr">
        <is>
          <t>https://www.jaycar.com.au/search?text=servo</t>
        </is>
      </c>
      <c r="H12" s="6" t="inlineStr">
        <is>
          <t>Optional</t>
        </is>
      </c>
      <c r="I12" s="6" t="inlineStr">
        <is>
          <t>No</t>
        </is>
      </c>
      <c r="J12" s="6" t="inlineStr">
        <is>
          <t>No</t>
        </is>
      </c>
    </row>
    <row r="13">
      <c r="A13" s="7" t="inlineStr">
        <is>
          <t>E09</t>
        </is>
      </c>
      <c r="B13" s="7" t="inlineStr">
        <is>
          <t>USB data cable × 1</t>
        </is>
      </c>
      <c r="C13" s="7" t="inlineStr">
        <is>
          <t>Check the connector on the chosen Pico board; cable must support data, not charge-only.</t>
        </is>
      </c>
      <c r="D13" s="8" t="n">
        <v>5</v>
      </c>
      <c r="E13" s="8" t="n">
        <v>12</v>
      </c>
      <c r="F13" s="8">
        <f>D13</f>
        <v/>
      </c>
      <c r="G13" s="9" t="inlineStr">
        <is>
          <t>https://www.jaycar.com.au/search?text=USB+data+cable</t>
        </is>
      </c>
      <c r="H13" s="7" t="inlineStr">
        <is>
          <t>Yes</t>
        </is>
      </c>
      <c r="I13" s="7" t="inlineStr">
        <is>
          <t>No</t>
        </is>
      </c>
      <c r="J13" s="7" t="inlineStr">
        <is>
          <t>No</t>
        </is>
      </c>
    </row>
    <row r="14">
      <c r="A14" s="6" t="inlineStr">
        <is>
          <t>E10</t>
        </is>
      </c>
      <c r="B14" s="6" t="inlineStr">
        <is>
          <t>Jumper wires / prototyping board / connectors</t>
        </is>
      </c>
      <c r="C14" s="6" t="inlineStr">
        <is>
          <t>Include suitable wire gauge for motor current and insulated connectors.</t>
        </is>
      </c>
      <c r="D14" s="10" t="n">
        <v>10</v>
      </c>
      <c r="E14" s="10" t="n">
        <v>25</v>
      </c>
      <c r="F14" s="10">
        <f>D14</f>
        <v/>
      </c>
      <c r="G14" s="11" t="inlineStr">
        <is>
          <t>https://core-electronics.com.au/search.php?search_query=Raspberry+Pi+Pico+protoboard</t>
        </is>
      </c>
      <c r="H14" s="6" t="inlineStr">
        <is>
          <t>Yes</t>
        </is>
      </c>
      <c r="I14" s="6" t="inlineStr">
        <is>
          <t>No</t>
        </is>
      </c>
      <c r="J14" s="6" t="inlineStr">
        <is>
          <t>No</t>
        </is>
      </c>
    </row>
    <row r="15">
      <c r="A15" s="7" t="inlineStr">
        <is>
          <t>E11</t>
        </is>
      </c>
      <c r="B15" s="7" t="inlineStr">
        <is>
          <t>Screws, nuts, spacers, switch</t>
        </is>
      </c>
      <c r="C15" s="7" t="inlineStr">
        <is>
          <t>Allow for mounting boards, battery and shell.</t>
        </is>
      </c>
      <c r="D15" s="8" t="n">
        <v>8</v>
      </c>
      <c r="E15" s="8" t="n">
        <v>20</v>
      </c>
      <c r="F15" s="8">
        <f>D15</f>
        <v/>
      </c>
      <c r="G15" s="9" t="inlineStr">
        <is>
          <t>https://www.amazon.com.au/s?k=M3+screws+nuts+spacers+kit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No</t>
        </is>
      </c>
    </row>
    <row r="16">
      <c r="A16" s="6" t="inlineStr">
        <is>
          <t>M01</t>
        </is>
      </c>
      <c r="B16" s="6" t="inlineStr">
        <is>
          <t>3D printing / filament / base plate</t>
        </is>
      </c>
      <c r="C16" s="6" t="inlineStr">
        <is>
          <t>Prototype base first; final shell after measuring parts.</t>
        </is>
      </c>
      <c r="D16" s="10" t="n">
        <v>20</v>
      </c>
      <c r="E16" s="10" t="n">
        <v>50</v>
      </c>
      <c r="F16" s="10">
        <f>D16</f>
        <v/>
      </c>
      <c r="G16" s="11" t="inlineStr">
        <is>
          <t>https://www.printables.com/search/models?q=robot%20chassis</t>
        </is>
      </c>
      <c r="H16" s="6" t="inlineStr">
        <is>
          <t>Yes</t>
        </is>
      </c>
      <c r="I16" s="6" t="inlineStr">
        <is>
          <t>No</t>
        </is>
      </c>
      <c r="J16" s="6" t="inlineStr">
        <is>
          <t>No</t>
        </is>
      </c>
    </row>
    <row r="17">
      <c r="A17" s="7" t="inlineStr">
        <is>
          <t>O01</t>
        </is>
      </c>
      <c r="B17" s="7" t="inlineStr">
        <is>
          <t>Track kit / sprockets / idlers</t>
        </is>
      </c>
      <c r="C17" s="7" t="inlineStr">
        <is>
          <t>Optional future upgrade; must match chassis and motors.</t>
        </is>
      </c>
      <c r="D17" s="8" t="n">
        <v>20</v>
      </c>
      <c r="E17" s="8" t="n">
        <v>60</v>
      </c>
      <c r="F17" s="8">
        <f>D17</f>
        <v/>
      </c>
      <c r="G17" s="9" t="inlineStr">
        <is>
          <t>https://www.amazon.com.au/s?k=small+robot+tracked+chassis+kit</t>
        </is>
      </c>
      <c r="H17" s="7" t="inlineStr">
        <is>
          <t>Optional</t>
        </is>
      </c>
      <c r="I17" s="7" t="inlineStr">
        <is>
          <t>No</t>
        </is>
      </c>
      <c r="J17" s="7" t="inlineStr">
        <is>
          <t>No</t>
        </is>
      </c>
    </row>
    <row r="18">
      <c r="A18" s="6" t="inlineStr">
        <is>
          <t>O02</t>
        </is>
      </c>
      <c r="B18" s="6" t="inlineStr">
        <is>
          <t>Camera + separate camera-capable board</t>
        </is>
      </c>
      <c r="C18" s="6" t="inlineStr">
        <is>
          <t>Optional live video; Pico W alone is not recommended for normal camera streaming.</t>
        </is>
      </c>
      <c r="D18" s="10" t="n">
        <v>35</v>
      </c>
      <c r="E18" s="10" t="n">
        <v>100</v>
      </c>
      <c r="F18" s="10">
        <f>D18</f>
        <v/>
      </c>
      <c r="G18" s="11" t="inlineStr">
        <is>
          <t>https://core-electronics.com.au/search.php?search_query=Raspberry+Pi+camera</t>
        </is>
      </c>
      <c r="H18" s="6" t="inlineStr">
        <is>
          <t>Optional</t>
        </is>
      </c>
      <c r="I18" s="6" t="inlineStr">
        <is>
          <t>No</t>
        </is>
      </c>
      <c r="J18" s="6" t="inlineStr">
        <is>
          <t>No</t>
        </is>
      </c>
    </row>
    <row r="19">
      <c r="A19" s="7" t="inlineStr">
        <is>
          <t>O03</t>
        </is>
      </c>
      <c r="B19" s="7" t="inlineStr">
        <is>
          <t>Tools / solder / heat-shrink / spare parts</t>
        </is>
      </c>
      <c r="C19" s="7" t="inlineStr">
        <is>
          <t>Depends on tools already owned.</t>
        </is>
      </c>
      <c r="D19" s="8" t="n">
        <v>0</v>
      </c>
      <c r="E19" s="8" t="n">
        <v>40</v>
      </c>
      <c r="F19" s="8">
        <f>D19</f>
        <v/>
      </c>
      <c r="G19" s="9" t="inlineStr">
        <is>
          <t>https://www.jaycar.com.au/</t>
        </is>
      </c>
      <c r="H19" s="7" t="inlineStr">
        <is>
          <t>Maybe</t>
        </is>
      </c>
      <c r="I19" s="7" t="inlineStr">
        <is>
          <t>No</t>
        </is>
      </c>
      <c r="J19" s="7" t="inlineStr">
        <is>
          <t>No</t>
        </is>
      </c>
    </row>
    <row r="21">
      <c r="B21" s="12" t="inlineStr">
        <is>
          <t>Essential build estimate (excluding optional items)</t>
        </is>
      </c>
      <c r="C21" s="12" t="n"/>
      <c r="D21" s="13">
        <f>SUMIF(H5:H19,"Yes",D5:D19)</f>
        <v/>
      </c>
      <c r="E21" s="13">
        <f>SUMIF(H5:H19,"Yes",E5:E19)</f>
        <v/>
      </c>
      <c r="F21" s="13">
        <f>SUMIF(H5:H19,"Yes",F5:F19)</f>
        <v/>
      </c>
    </row>
    <row r="22">
      <c r="B22" s="12" t="inlineStr">
        <is>
          <t>All items including optional upgrades</t>
        </is>
      </c>
      <c r="C22" s="12" t="n"/>
      <c r="D22" s="13">
        <f>SUM(D5:D19)</f>
        <v/>
      </c>
      <c r="E22" s="13">
        <f>SUM(E5:E19)</f>
        <v/>
      </c>
      <c r="F22" s="13">
        <f>SUM(F5:F19)</f>
        <v/>
      </c>
    </row>
    <row r="24">
      <c r="A24" s="20" t="inlineStr">
        <is>
          <t>v2: parts for later stages (buy each stage only after the one before works)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>
      <c r="A25" s="5" t="inlineStr">
        <is>
          <t>ID</t>
        </is>
      </c>
      <c r="B25" s="5" t="inlineStr">
        <is>
          <t>Part / quantity</t>
        </is>
      </c>
      <c r="C25" s="5" t="inlineStr">
        <is>
          <t>What to check</t>
        </is>
      </c>
      <c r="D25" s="5" t="inlineStr">
        <is>
          <t>Low estimate (AUD)</t>
        </is>
      </c>
      <c r="E25" s="5" t="inlineStr">
        <is>
          <t>High estimate (AUD)</t>
        </is>
      </c>
      <c r="F25" s="5" t="inlineStr">
        <is>
          <t>Budget used (AUD)</t>
        </is>
      </c>
      <c r="G25" s="5" t="inlineStr">
        <is>
          <t>Supplier / search link</t>
        </is>
      </c>
      <c r="H25" s="5" t="inlineStr">
        <is>
          <t>Stage</t>
        </is>
      </c>
      <c r="I25" s="5" t="inlineStr">
        <is>
          <t>Ordered?</t>
        </is>
      </c>
      <c r="J25" s="5" t="inlineStr">
        <is>
          <t>Received?</t>
        </is>
      </c>
    </row>
    <row r="26">
      <c r="A26" s="22" t="inlineStr">
        <is>
          <t>U01</t>
        </is>
      </c>
      <c r="B26" s="22" t="inlineStr">
        <is>
          <t>Raspberry Pi Zero 2 W x 1</t>
        </is>
      </c>
      <c r="C26" s="22" t="inlineStr">
        <is>
          <t>Stage 2 brain for video, walking policy and bus servos. 65 x 30 mm.</t>
        </is>
      </c>
      <c r="D26" s="23" t="n">
        <v>25</v>
      </c>
      <c r="E26" s="23" t="n">
        <v>35</v>
      </c>
      <c r="F26" s="23">
        <f>D26</f>
        <v/>
      </c>
      <c r="G26" s="22" t="inlineStr">
        <is>
          <t>https://core-electronics.com.au/raspberry-pi-zero-2-w-wireless.html</t>
        </is>
      </c>
      <c r="H26" s="22" t="inlineStr">
        <is>
          <t>Stage 2</t>
        </is>
      </c>
      <c r="I26" s="22" t="inlineStr">
        <is>
          <t>No</t>
        </is>
      </c>
      <c r="J26" s="22" t="inlineStr">
        <is>
          <t>No</t>
        </is>
      </c>
    </row>
    <row r="27">
      <c r="A27" s="22" t="inlineStr">
        <is>
          <t>U02</t>
        </is>
      </c>
      <c r="B27" s="22" t="inlineStr">
        <is>
          <t>N20 6V 1:298 motors with hall encoders x 4</t>
        </is>
      </c>
      <c r="C27" s="22" t="inlineStr">
        <is>
          <t>Replaces E04 if bought before stage 1. Check shaft and connector.</t>
        </is>
      </c>
      <c r="D27" s="23" t="n">
        <v>40</v>
      </c>
      <c r="E27" s="23" t="n">
        <v>80</v>
      </c>
      <c r="F27" s="23">
        <f>D27</f>
        <v/>
      </c>
      <c r="G27" s="22" t="inlineStr">
        <is>
          <t>https://www.amazon.com.au/s?k=N20+encoder+gear+motor+6V</t>
        </is>
      </c>
      <c r="H27" s="22" t="inlineStr">
        <is>
          <t>Stage 1-2</t>
        </is>
      </c>
      <c r="I27" s="22" t="inlineStr">
        <is>
          <t>No</t>
        </is>
      </c>
      <c r="J27" s="22" t="inlineStr">
        <is>
          <t>No</t>
        </is>
      </c>
    </row>
    <row r="28">
      <c r="A28" s="22" t="inlineStr">
        <is>
          <t>U03</t>
        </is>
      </c>
      <c r="B28" s="22" t="inlineStr">
        <is>
          <t>Track panels and 44 mm sprockets</t>
        </is>
      </c>
      <c r="C28" s="22" t="inlineStr">
        <is>
          <t>Replaces O01. Print or buy; must match motor shaft.</t>
        </is>
      </c>
      <c r="D28" s="23" t="n">
        <v>20</v>
      </c>
      <c r="E28" s="23" t="n">
        <v>60</v>
      </c>
      <c r="F28" s="23">
        <f>D28</f>
        <v/>
      </c>
      <c r="G28" s="22" t="inlineStr">
        <is>
          <t>https://www.printables.com/search/models?q=robot%20track</t>
        </is>
      </c>
      <c r="H28" s="22" t="inlineStr">
        <is>
          <t>Stage 2</t>
        </is>
      </c>
      <c r="I28" s="22" t="inlineStr">
        <is>
          <t>No</t>
        </is>
      </c>
      <c r="J28" s="22" t="inlineStr">
        <is>
          <t>No</t>
        </is>
      </c>
    </row>
    <row r="29">
      <c r="A29" s="22" t="inlineStr">
        <is>
          <t>U04</t>
        </is>
      </c>
      <c r="B29" s="22" t="inlineStr">
        <is>
          <t>Feetech STS3215 servos x 10 (legs)</t>
        </is>
      </c>
      <c r="C29" s="22" t="inlineStr">
        <is>
          <t>Open Duck Mini v2 legs. Order a spare or two.</t>
        </is>
      </c>
      <c r="D29" s="23" t="n">
        <v>250</v>
      </c>
      <c r="E29" s="23" t="n">
        <v>400</v>
      </c>
      <c r="F29" s="23">
        <f>D29</f>
        <v/>
      </c>
      <c r="G29" s="22" t="inlineStr">
        <is>
          <t>https://github.com/apirrone/Open_Duck_Mini</t>
        </is>
      </c>
      <c r="H29" s="22" t="inlineStr">
        <is>
          <t>Stage 3</t>
        </is>
      </c>
      <c r="I29" s="22" t="inlineStr">
        <is>
          <t>No</t>
        </is>
      </c>
      <c r="J29" s="22" t="inlineStr">
        <is>
          <t>No</t>
        </is>
      </c>
    </row>
    <row r="30">
      <c r="A30" s="22" t="inlineStr">
        <is>
          <t>U05</t>
        </is>
      </c>
      <c r="B30" s="22" t="inlineStr">
        <is>
          <t>Feetech bus servo driver board</t>
        </is>
      </c>
      <c r="C30" s="22" t="inlineStr">
        <is>
          <t>USB to serial bus board for the Pi.</t>
        </is>
      </c>
      <c r="D30" s="23" t="n">
        <v>15</v>
      </c>
      <c r="E30" s="23" t="n">
        <v>30</v>
      </c>
      <c r="F30" s="23">
        <f>D30</f>
        <v/>
      </c>
      <c r="G30" s="22" t="inlineStr">
        <is>
          <t>https://www.feetechrc.com/</t>
        </is>
      </c>
      <c r="H30" s="22" t="inlineStr">
        <is>
          <t>Stage 3</t>
        </is>
      </c>
      <c r="I30" s="22" t="inlineStr">
        <is>
          <t>No</t>
        </is>
      </c>
      <c r="J30" s="22" t="inlineStr">
        <is>
          <t>No</t>
        </is>
      </c>
    </row>
    <row r="31">
      <c r="A31" s="22" t="inlineStr">
        <is>
          <t>U06</t>
        </is>
      </c>
      <c r="B31" s="22" t="inlineStr">
        <is>
          <t>BNO055 IMU</t>
        </is>
      </c>
      <c r="C31" s="22" t="inlineStr">
        <is>
          <t>Absolute orientation sensor used by Open Duck.</t>
        </is>
      </c>
      <c r="D31" s="23" t="n">
        <v>35</v>
      </c>
      <c r="E31" s="23" t="n">
        <v>55</v>
      </c>
      <c r="F31" s="23">
        <f>D31</f>
        <v/>
      </c>
      <c r="G31" s="22" t="inlineStr">
        <is>
          <t>https://core-electronics.com.au/search.php?search_query=BNO055</t>
        </is>
      </c>
      <c r="H31" s="22" t="inlineStr">
        <is>
          <t>Stage 3</t>
        </is>
      </c>
      <c r="I31" s="22" t="inlineStr">
        <is>
          <t>No</t>
        </is>
      </c>
      <c r="J31" s="22" t="inlineStr">
        <is>
          <t>No</t>
        </is>
      </c>
    </row>
    <row r="32">
      <c r="A32" s="22" t="inlineStr">
        <is>
          <t>U07</t>
        </is>
      </c>
      <c r="B32" s="22" t="inlineStr">
        <is>
          <t>2S 7.4 V battery with BMS + charger</t>
        </is>
      </c>
      <c r="C32" s="22" t="inlineStr">
        <is>
          <t>18650 2S pack or 2S LiPo 2200 mAh. Charge supervised, in a LiPo bag.</t>
        </is>
      </c>
      <c r="D32" s="23" t="n">
        <v>45</v>
      </c>
      <c r="E32" s="23" t="n">
        <v>90</v>
      </c>
      <c r="F32" s="23">
        <f>D32</f>
        <v/>
      </c>
      <c r="G32" s="22" t="inlineStr">
        <is>
          <t>https://www.jaycar.com.au/search?text=7.4V+battery</t>
        </is>
      </c>
      <c r="H32" s="22" t="inlineStr">
        <is>
          <t>Stage 3</t>
        </is>
      </c>
      <c r="I32" s="22" t="inlineStr">
        <is>
          <t>No</t>
        </is>
      </c>
      <c r="J32" s="22" t="inlineStr">
        <is>
          <t>No</t>
        </is>
      </c>
    </row>
    <row r="33">
      <c r="A33" s="22" t="inlineStr">
        <is>
          <t>U08</t>
        </is>
      </c>
      <c r="B33" s="22" t="inlineStr">
        <is>
          <t>5 V 3 A buck converter, fuse, switch</t>
        </is>
      </c>
      <c r="C33" s="22" t="inlineStr">
        <is>
          <t>Clean supply for the Pi from the 2S pack.</t>
        </is>
      </c>
      <c r="D33" s="23" t="n">
        <v>15</v>
      </c>
      <c r="E33" s="23" t="n">
        <v>30</v>
      </c>
      <c r="F33" s="23">
        <f>D33</f>
        <v/>
      </c>
      <c r="G33" s="22" t="inlineStr">
        <is>
          <t>https://core-electronics.com.au/search.php?search_query=buck+converter+5V+3A</t>
        </is>
      </c>
      <c r="H33" s="22" t="inlineStr">
        <is>
          <t>Stage 3</t>
        </is>
      </c>
      <c r="I33" s="22" t="inlineStr">
        <is>
          <t>No</t>
        </is>
      </c>
      <c r="J33" s="22" t="inlineStr">
        <is>
          <t>No</t>
        </is>
      </c>
    </row>
    <row r="34">
      <c r="A34" s="22" t="inlineStr">
        <is>
          <t>U09</t>
        </is>
      </c>
      <c r="B34" s="22" t="inlineStr">
        <is>
          <t>Feetech STS3215 servos x 4 (arm)</t>
        </is>
      </c>
      <c r="C34" s="22" t="inlineStr">
        <is>
          <t>Yaw, shoulder, elbow, wrist.</t>
        </is>
      </c>
      <c r="D34" s="23" t="n">
        <v>100</v>
      </c>
      <c r="E34" s="23" t="n">
        <v>160</v>
      </c>
      <c r="F34" s="23">
        <f>D34</f>
        <v/>
      </c>
      <c r="G34" s="22" t="inlineStr">
        <is>
          <t>https://www.feetechrc.com/</t>
        </is>
      </c>
      <c r="H34" s="22" t="inlineStr">
        <is>
          <t>Stage 4</t>
        </is>
      </c>
      <c r="I34" s="22" t="inlineStr">
        <is>
          <t>No</t>
        </is>
      </c>
      <c r="J34" s="22" t="inlineStr">
        <is>
          <t>No</t>
        </is>
      </c>
    </row>
    <row r="35">
      <c r="A35" s="22" t="inlineStr">
        <is>
          <t>U10</t>
        </is>
      </c>
      <c r="B35" s="22" t="inlineStr">
        <is>
          <t>3-finger tendon hand (2 micro servos + printed parts)</t>
        </is>
      </c>
      <c r="C35" s="22" t="inlineStr">
        <is>
          <t>About 45 g. Fishing line tendons, elastic return.</t>
        </is>
      </c>
      <c r="D35" s="23" t="n">
        <v>15</v>
      </c>
      <c r="E35" s="23" t="n">
        <v>30</v>
      </c>
      <c r="F35" s="23">
        <f>D35</f>
        <v/>
      </c>
      <c r="G35" s="22" t="inlineStr">
        <is>
          <t>https://www.printables.com/search/models?q=robot%20hand%20tendon</t>
        </is>
      </c>
      <c r="H35" s="22" t="inlineStr">
        <is>
          <t>Stage 4</t>
        </is>
      </c>
      <c r="I35" s="22" t="inlineStr">
        <is>
          <t>No</t>
        </is>
      </c>
      <c r="J35" s="22" t="inlineStr">
        <is>
          <t>No</t>
        </is>
      </c>
    </row>
    <row r="36">
      <c r="A36" s="22" t="inlineStr">
        <is>
          <t>U11</t>
        </is>
      </c>
      <c r="B36" s="22" t="inlineStr">
        <is>
          <t>Raspberry Pi 5 (4 GB) + cooler</t>
        </is>
      </c>
      <c r="C36" s="22" t="inlineStr">
        <is>
          <t>Stage 5 brain for speech and vision.</t>
        </is>
      </c>
      <c r="D36" s="23" t="n">
        <v>95</v>
      </c>
      <c r="E36" s="23" t="n">
        <v>125</v>
      </c>
      <c r="F36" s="23">
        <f>D36</f>
        <v/>
      </c>
      <c r="G36" s="22" t="inlineStr">
        <is>
          <t>https://core-electronics.com.au/raspberry-pi-5-model-b-4gb.html</t>
        </is>
      </c>
      <c r="H36" s="22" t="inlineStr">
        <is>
          <t>Stage 5</t>
        </is>
      </c>
      <c r="I36" s="22" t="inlineStr">
        <is>
          <t>No</t>
        </is>
      </c>
      <c r="J36" s="22" t="inlineStr">
        <is>
          <t>No</t>
        </is>
      </c>
    </row>
    <row r="37">
      <c r="A37" s="22" t="inlineStr">
        <is>
          <t>U12</t>
        </is>
      </c>
      <c r="B37" s="22" t="inlineStr">
        <is>
          <t>I2S amp (MAX98357), speaker, USB microphone</t>
        </is>
      </c>
      <c r="C37" s="22" t="inlineStr">
        <is>
          <t>Voice in and out.</t>
        </is>
      </c>
      <c r="D37" s="23" t="n">
        <v>20</v>
      </c>
      <c r="E37" s="23" t="n">
        <v>40</v>
      </c>
      <c r="F37" s="23">
        <f>D37</f>
        <v/>
      </c>
      <c r="G37" s="22" t="inlineStr">
        <is>
          <t>https://core-electronics.com.au/search.php?search_query=MAX98357</t>
        </is>
      </c>
      <c r="H37" s="22" t="inlineStr">
        <is>
          <t>Stage 5</t>
        </is>
      </c>
      <c r="I37" s="22" t="inlineStr">
        <is>
          <t>No</t>
        </is>
      </c>
      <c r="J37" s="22" t="inlineStr">
        <is>
          <t>No</t>
        </is>
      </c>
    </row>
    <row r="38">
      <c r="A38" s="22" t="inlineStr">
        <is>
          <t>O04</t>
        </is>
      </c>
      <c r="B38" s="22" t="inlineStr">
        <is>
          <t>Pollen Amazing Hand kit (optional)</t>
        </is>
      </c>
      <c r="C38" s="22" t="inlineStr">
        <is>
          <t>8 servos, about 400 g. Too heavy for the walker; use on a bench arm.</t>
        </is>
      </c>
      <c r="D38" s="23" t="n">
        <v>300</v>
      </c>
      <c r="E38" s="23" t="n">
        <v>380</v>
      </c>
      <c r="F38" s="23">
        <f>D38</f>
        <v/>
      </c>
      <c r="G38" s="22" t="inlineStr">
        <is>
          <t>https://huggingface.co/blog/pollen-robotics/amazing-hand</t>
        </is>
      </c>
      <c r="H38" s="22" t="inlineStr">
        <is>
          <t>Optional</t>
        </is>
      </c>
      <c r="I38" s="22" t="inlineStr">
        <is>
          <t>No</t>
        </is>
      </c>
      <c r="J38" s="22" t="inlineStr">
        <is>
          <t>No</t>
        </is>
      </c>
    </row>
    <row r="39">
      <c r="B39" s="24" t="inlineStr">
        <is>
          <t>Later stages, excluding optional items</t>
        </is>
      </c>
      <c r="D39" s="25">
        <f>SUMIF(H26:H38,"&lt;&gt;Optional",D26:D38)</f>
        <v/>
      </c>
      <c r="E39" s="25">
        <f>SUMIF(H26:H38,"&lt;&gt;Optional",E26:E38)</f>
        <v/>
      </c>
      <c r="F39" s="25">
        <f>SUMIF(H26:H38,"&lt;&gt;Optional",F26:F38)</f>
        <v/>
      </c>
    </row>
  </sheetData>
  <autoFilter ref="A4:J19"/>
  <mergeCells count="2">
    <mergeCell ref="A2:F2"/>
    <mergeCell ref="A1:F1"/>
  </mergeCells>
  <dataValidations count="2">
    <dataValidation sqref="I5:J19" showDropDown="0" showInputMessage="0" showErrorMessage="0" allowBlank="0" type="list">
      <formula1>"No,Yes"</formula1>
    </dataValidation>
    <dataValidation sqref="I26:J38" showDropDown="0" showInputMessage="0" showErrorMessage="0" allowBlank="0" type="list">
      <formula1>"No,Yes"</formula1>
    </dataValidation>
  </dataValidation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7" customWidth="1" min="3" max="3"/>
    <col width="68" customWidth="1" min="4" max="4"/>
    <col width="52" customWidth="1" min="5" max="5"/>
    <col width="56" customWidth="1" min="6" max="6"/>
    <col width="16" customWidth="1" min="7" max="7"/>
  </cols>
  <sheetData>
    <row r="1" ht="32" customHeight="1">
      <c r="A1" s="1" t="inlineStr">
        <is>
          <t>SOFTWARE DEVELOPMENT PLAN</t>
        </is>
      </c>
    </row>
    <row r="2" ht="24" customHeight="1">
      <c r="A2" s="2" t="inlineStr">
        <is>
          <t>Build each feature independently in MicroPython, then integrate. Pin numbers depend on the final display and driver.</t>
        </is>
      </c>
    </row>
    <row r="4" ht="30" customHeight="1">
      <c r="A4" s="5" t="inlineStr">
        <is>
          <t>Order</t>
        </is>
      </c>
      <c r="B4" s="5" t="inlineStr">
        <is>
          <t>Module / file</t>
        </is>
      </c>
      <c r="C4" s="5" t="inlineStr">
        <is>
          <t>Goal</t>
        </is>
      </c>
      <c r="D4" s="5" t="inlineStr">
        <is>
          <t>Development instructions</t>
        </is>
      </c>
      <c r="E4" s="5" t="inlineStr">
        <is>
          <t>Test / acceptance criteria</t>
        </is>
      </c>
      <c r="F4" s="5" t="inlineStr">
        <is>
          <t>Useful link</t>
        </is>
      </c>
      <c r="G4" s="5" t="inlineStr">
        <is>
          <t>Status</t>
        </is>
      </c>
    </row>
    <row r="5">
      <c r="A5" s="7" t="n">
        <v>1</v>
      </c>
      <c r="B5" s="7" t="inlineStr">
        <is>
          <t>setup_notes.md</t>
        </is>
      </c>
      <c r="C5" s="7" t="inlineStr">
        <is>
          <t>Record exact hardware and pins</t>
        </is>
      </c>
      <c r="D5" s="7" t="inlineStr">
        <is>
          <t>Write down Pico model, display model, driver model, motor voltage/current, power rails, I2C/SPI pins and library versions. Do not guess pin mappings.</t>
        </is>
      </c>
      <c r="E5" s="7" t="inlineStr">
        <is>
          <t>A wiring map exists before full assembly.</t>
        </is>
      </c>
      <c r="F5" s="9" t="inlineStr">
        <is>
          <t>https://www.raspberrypi.com/documentation/microcontrollers/micropython.html</t>
        </is>
      </c>
      <c r="G5" s="7" t="inlineStr">
        <is>
          <t>Not started</t>
        </is>
      </c>
    </row>
    <row r="6">
      <c r="A6" s="6" t="n">
        <v>2</v>
      </c>
      <c r="B6" s="6" t="inlineStr">
        <is>
          <t>main.py</t>
        </is>
      </c>
      <c r="C6" s="6" t="inlineStr">
        <is>
          <t>Startup and coordination</t>
        </is>
      </c>
      <c r="D6" s="6" t="inlineStr">
        <is>
          <t>Initialise modules; show startup face; keep main loop responsive; stop motors on errors or lost control commands.</t>
        </is>
      </c>
      <c r="E6" s="6" t="inlineStr">
        <is>
          <t>Robot starts predictably and defaults to stopped.</t>
        </is>
      </c>
      <c r="F6" s="11" t="inlineStr">
        <is>
          <t>https://thonny.org/</t>
        </is>
      </c>
      <c r="G6" s="6" t="inlineStr">
        <is>
          <t>Not started</t>
        </is>
      </c>
    </row>
    <row r="7">
      <c r="A7" s="7" t="n">
        <v>3</v>
      </c>
      <c r="B7" s="7" t="inlineStr">
        <is>
          <t>face.py</t>
        </is>
      </c>
      <c r="C7" s="7" t="inlineStr">
        <is>
          <t>Animated eyes</t>
        </is>
      </c>
      <c r="D7" s="7" t="inlineStr">
        <is>
          <t>Use the exact display library. Start with static eyes, then blinking and a few expressions. Keep display updates separate from motor-control timing.</t>
        </is>
      </c>
      <c r="E7" s="7" t="inlineStr">
        <is>
          <t>Face updates without freezing motor or safety logic.</t>
        </is>
      </c>
      <c r="F7" s="9" t="inlineStr">
        <is>
          <t>https://core-electronics.com.au/pico-display-pack-2-0.html</t>
        </is>
      </c>
      <c r="G7" s="7" t="inlineStr">
        <is>
          <t>Not started</t>
        </is>
      </c>
    </row>
    <row r="8">
      <c r="A8" s="6" t="n">
        <v>4</v>
      </c>
      <c r="B8" s="6" t="inlineStr">
        <is>
          <t>motors.py</t>
        </is>
      </c>
      <c r="C8" s="6" t="inlineStr">
        <is>
          <t>Drive and turn</t>
        </is>
      </c>
      <c r="D8" s="6" t="inlineStr">
        <is>
          <t>Implement stop(), forward(speed), reverse(speed), left(speed), right(speed). Limit speed range and test wheels off the ground. Use motor driver; never drive motors from GPIO directly.</t>
        </is>
      </c>
      <c r="E8" s="6" t="inlineStr">
        <is>
          <t>Each command does what it says; stop command works immediately.</t>
        </is>
      </c>
      <c r="F8" s="11" t="inlineStr">
        <is>
          <t>https://www.raspberrypi.com/documentation/microcontrollers/pico-series.html</t>
        </is>
      </c>
      <c r="G8" s="6" t="inlineStr">
        <is>
          <t>Not started</t>
        </is>
      </c>
    </row>
    <row r="9">
      <c r="A9" s="7" t="n">
        <v>5</v>
      </c>
      <c r="B9" s="7" t="inlineStr">
        <is>
          <t>sensor.py</t>
        </is>
      </c>
      <c r="C9" s="7" t="inlineStr">
        <is>
          <t>Obstacle distance</t>
        </is>
      </c>
      <c r="D9" s="7" t="inlineStr">
        <is>
          <t>Read sensor using its library and datasheet. Filter implausible readings and define a cautious stop distance. Test stationary before autonomous reactions.</t>
        </is>
      </c>
      <c r="E9" s="7" t="inlineStr">
        <is>
          <t>Valid distance readings; robot stops or refuses forward movement near an obstacle.</t>
        </is>
      </c>
      <c r="F9" s="9" t="inlineStr">
        <is>
          <t>https://www.mlab.com.au/products/gravity-vl53l0x-tof-distance-sensor-30-2000mm</t>
        </is>
      </c>
      <c r="G9" s="7" t="inlineStr">
        <is>
          <t>Not started</t>
        </is>
      </c>
    </row>
    <row r="10">
      <c r="A10" s="6" t="n">
        <v>6</v>
      </c>
      <c r="B10" s="6" t="inlineStr">
        <is>
          <t>camera_mount.py</t>
        </is>
      </c>
      <c r="C10" s="6" t="inlineStr">
        <is>
          <t>Servo movement</t>
        </is>
      </c>
      <c r="D10" s="6" t="inlineStr">
        <is>
          <t>Use PWM to command a limited angle range. Power servo from suitable supply, not a GPIO pin. Start with camera absent to avoid overloading mount.</t>
        </is>
      </c>
      <c r="E10" s="6" t="inlineStr">
        <is>
          <t>Mount moves smoothly without buzzing or hitting mechanical stops.</t>
        </is>
      </c>
      <c r="F10" s="11" t="inlineStr">
        <is>
          <t>https://www.raspberrypi.com/documentation/microcontrollers/micropython.html</t>
        </is>
      </c>
      <c r="G10" s="6" t="inlineStr">
        <is>
          <t>Not started</t>
        </is>
      </c>
    </row>
    <row r="11">
      <c r="A11" s="7" t="n">
        <v>7</v>
      </c>
      <c r="B11" s="7" t="inlineStr">
        <is>
          <t>remote.py</t>
        </is>
      </c>
      <c r="C11" s="7" t="inlineStr">
        <is>
          <t>Phone control over Wi-Fi</t>
        </is>
      </c>
      <c r="D11" s="7" t="inlineStr">
        <is>
          <t>Host a simple local control page or accept authenticated local commands. Add a command timeout/dead-man stop; do not expose the robot directly to the public internet.</t>
        </is>
      </c>
      <c r="E11" s="7" t="inlineStr">
        <is>
          <t>Phone can command movement on local network; loss of commands stops the robot.</t>
        </is>
      </c>
      <c r="F11" s="9" t="inlineStr">
        <is>
          <t>https://www.raspberrypi.com/documentation/microcontrollers/micropython.html</t>
        </is>
      </c>
      <c r="G11" s="7" t="inlineStr">
        <is>
          <t>Not started</t>
        </is>
      </c>
    </row>
    <row r="12">
      <c r="A12" s="6" t="n">
        <v>8</v>
      </c>
      <c r="B12" s="6" t="inlineStr">
        <is>
          <t>integration</t>
        </is>
      </c>
      <c r="C12" s="6" t="inlineStr">
        <is>
          <t>Combine features</t>
        </is>
      </c>
      <c r="D12" s="6" t="inlineStr">
        <is>
          <t>Test each module alone, then combine one at a time. Avoid long blocking delays; use timing that keeps the stop/safety loop responsive.</t>
        </is>
      </c>
      <c r="E12" s="6" t="inlineStr">
        <is>
          <t>Display, motors, sensor, servo and app control operate together.</t>
        </is>
      </c>
      <c r="F12" s="11" t="inlineStr">
        <is>
          <t>https://projects.raspberrypi.org/en/projects/introduction-to-the-pico</t>
        </is>
      </c>
      <c r="G12" s="6" t="inlineStr">
        <is>
          <t>Not started</t>
        </is>
      </c>
    </row>
    <row r="13">
      <c r="A13" s="7" t="n">
        <v>9</v>
      </c>
      <c r="B13" s="7" t="inlineStr">
        <is>
          <t>optional camera subsystem</t>
        </is>
      </c>
      <c r="C13" s="7" t="inlineStr">
        <is>
          <t>Live video</t>
        </is>
      </c>
      <c r="D13" s="7" t="inlineStr">
        <is>
          <t>Use a separate camera-capable computer/module if streaming video is required. Keep video processing separate from the Pico's motor control.</t>
        </is>
      </c>
      <c r="E13" s="7" t="inlineStr">
        <is>
          <t>Video works without interrupting motor stop/safety behavior.</t>
        </is>
      </c>
      <c r="F13" s="9" t="inlineStr">
        <is>
          <t>https://core-electronics.com.au/search.php?search_query=Raspberry+Pi+camera</t>
        </is>
      </c>
      <c r="G13" s="7" t="inlineStr">
        <is>
          <t>Not started</t>
        </is>
      </c>
    </row>
    <row r="14">
      <c r="A14" s="22" t="n">
        <v>10</v>
      </c>
      <c r="B14" s="22" t="inlineStr">
        <is>
          <t>hal.py</t>
        </is>
      </c>
      <c r="C14" s="22" t="inlineStr">
        <is>
          <t>Same code in twin and robot</t>
        </is>
      </c>
      <c r="D14" s="22" t="inlineStr">
        <is>
          <t>Small classes Motor, Servo, Distance, Imu with the same methods in the sandbox, in MuJoCo and on the robot. Behaviours only talk to these.</t>
        </is>
      </c>
      <c r="E14" s="22" t="inlineStr">
        <is>
          <t>A behaviour runs unchanged in sim and on the robot.</t>
        </is>
      </c>
      <c r="F14" s="22" t="inlineStr">
        <is>
          <t>sandbox/model.js, sim/robot_xml.py</t>
        </is>
      </c>
      <c r="G14" s="22" t="inlineStr">
        <is>
          <t>Not started</t>
        </is>
      </c>
    </row>
    <row r="15">
      <c r="A15" s="22" t="n">
        <v>11</v>
      </c>
      <c r="B15" s="22" t="inlineStr">
        <is>
          <t>link.py (Pi &lt;-&gt; Pico)</t>
        </is>
      </c>
      <c r="C15" s="22" t="inlineStr">
        <is>
          <t>Stage 2 two-brain link</t>
        </is>
      </c>
      <c r="D15" s="22" t="inlineStr">
        <is>
          <t>JSON lines over UART: the Pi sends drive and face commands, the Pico replies with sensor readings. The Pico still stops on its own if messages stop.</t>
        </is>
      </c>
      <c r="E15" s="22" t="inlineStr">
        <is>
          <t>Unplugging the Pi stops the robot within 0.5 s.</t>
        </is>
      </c>
      <c r="F15" s="22" t="inlineStr">
        <is>
          <t>https://docs.micropython.org/en/latest/library/machine.UART.html</t>
        </is>
      </c>
      <c r="G15" s="22" t="inlineStr">
        <is>
          <t>Not started</t>
        </is>
      </c>
    </row>
    <row r="16">
      <c r="A16" s="22" t="n">
        <v>12</v>
      </c>
      <c r="B16" s="22" t="inlineStr">
        <is>
          <t>walk (Open Duck runtime)</t>
        </is>
      </c>
      <c r="C16" s="22" t="inlineStr">
        <is>
          <t>Walking</t>
        </is>
      </c>
      <c r="D16" s="22" t="inlineStr">
        <is>
          <t>Use Open_Duck_Mini_Runtime unchanged first. Wrap it so hal.py can ask for 'walk at speed v, turn w'.</t>
        </is>
      </c>
      <c r="E16" s="22" t="inlineStr">
        <is>
          <t>Robot walks forward, turns and stops on command.</t>
        </is>
      </c>
      <c r="F16" s="22" t="inlineStr">
        <is>
          <t>https://github.com/apirrone/Open_Duck_Mini_Runtime</t>
        </is>
      </c>
      <c r="G16" s="22" t="inlineStr">
        <is>
          <t>Not started</t>
        </is>
      </c>
    </row>
    <row r="17">
      <c r="A17" s="22" t="n">
        <v>13</v>
      </c>
      <c r="B17" s="22" t="inlineStr">
        <is>
          <t>arm.py</t>
        </is>
      </c>
      <c r="C17" s="22" t="inlineStr">
        <is>
          <t>Squat, reach, grip, lift</t>
        </is>
      </c>
      <c r="D17" s="22" t="inlineStr">
        <is>
          <t>Two-link IK as in the sandbox; plan squat depth from target height. Check servo load readings and stop if over 80%.</t>
        </is>
      </c>
      <c r="E17" s="22" t="inlineStr">
        <is>
          <t>Picks a 30 mm block from the floor 9 times out of 10.</t>
        </is>
      </c>
      <c r="F17" s="22" t="inlineStr">
        <is>
          <t>sandbox/index.html (planReach, solveArm)</t>
        </is>
      </c>
      <c r="G17" s="22" t="inlineStr">
        <is>
          <t>Not started</t>
        </is>
      </c>
    </row>
    <row r="18">
      <c r="A18" s="22" t="n">
        <v>14</v>
      </c>
      <c r="B18" s="22" t="inlineStr">
        <is>
          <t>voice.py</t>
        </is>
      </c>
      <c r="C18" s="22" t="inlineStr">
        <is>
          <t>Listen and talk</t>
        </is>
      </c>
      <c r="D18" s="22" t="inlineStr">
        <is>
          <t>Wake word, then speech-to-text, then the same command parser as the sandbox. Say 'stop' always wins.</t>
        </is>
      </c>
      <c r="E18" s="22" t="inlineStr">
        <is>
          <t>Understands 'pick up the red block' and 'stop'.</t>
        </is>
      </c>
      <c r="F18" s="22" t="inlineStr">
        <is>
          <t>https://github.com/rhasspy/piper</t>
        </is>
      </c>
      <c r="G18" s="22" t="inlineStr">
        <is>
          <t>Not started</t>
        </is>
      </c>
    </row>
    <row r="19">
      <c r="A19" s="22" t="n">
        <v>15</v>
      </c>
      <c r="B19" s="22" t="inlineStr">
        <is>
          <t>tasks.py</t>
        </is>
      </c>
      <c r="C19" s="22" t="inlineStr">
        <is>
          <t>Do jobs alone</t>
        </is>
      </c>
      <c r="D19" s="22" t="inlineStr">
        <is>
          <t>Tidy-up: find blocks by colour with the camera, then pick and place each one. Develop it in the sandbox first.</t>
        </is>
      </c>
      <c r="E19" s="22" t="inlineStr">
        <is>
          <t>Finishes the sandbox Tidy-up mission, then the real one.</t>
        </is>
      </c>
      <c r="F19" s="22" t="inlineStr">
        <is>
          <t>sandbox mission 8</t>
        </is>
      </c>
      <c r="G19" s="22" t="inlineStr">
        <is>
          <t>Not started</t>
        </is>
      </c>
    </row>
  </sheetData>
  <autoFilter ref="A4:G13"/>
  <mergeCells count="2">
    <mergeCell ref="A2:F2"/>
    <mergeCell ref="A1:F1"/>
  </mergeCells>
  <dataValidations count="2">
    <dataValidation sqref="G5:G13" showDropDown="0" showInputMessage="0" showErrorMessage="0" allowBlank="0" type="list">
      <formula1>"Not started,In progress,Blocked,Complete"</formula1>
    </dataValidation>
    <dataValidation sqref="G14:G19" showDropDown="0" showInputMessage="0" showErrorMessage="0" allowBlank="0" type="list">
      <formula1>"Not started,In progress,Blocked,Complete"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</hyperlink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32" customWidth="1" min="3" max="3"/>
    <col width="34" customWidth="1" min="4" max="4"/>
    <col width="44" customWidth="1" min="5" max="5"/>
    <col width="40" customWidth="1" min="6" max="6"/>
    <col width="38" customWidth="1" min="7" max="7"/>
    <col width="15" customWidth="1" min="8" max="8"/>
  </cols>
  <sheetData>
    <row r="1" ht="32" customHeight="1">
      <c r="A1" s="1" t="inlineStr">
        <is>
          <t>WIRING NOTES &amp; TEST LOG</t>
        </is>
      </c>
    </row>
    <row r="2" ht="24" customHeight="1">
      <c r="A2" s="2" t="inlineStr">
        <is>
          <t>Fill in actual pins and results only after checking the specific component datasheets.</t>
        </is>
      </c>
    </row>
    <row r="4" ht="30" customHeight="1">
      <c r="A4" s="5" t="inlineStr">
        <is>
          <t>Subsystem</t>
        </is>
      </c>
      <c r="B4" s="5" t="inlineStr">
        <is>
          <t>Signal / connection</t>
        </is>
      </c>
      <c r="C4" s="5" t="inlineStr">
        <is>
          <t>Pico pin / board terminal</t>
        </is>
      </c>
      <c r="D4" s="5" t="inlineStr">
        <is>
          <t>Power source / voltage</t>
        </is>
      </c>
      <c r="E4" s="5" t="inlineStr">
        <is>
          <t>Test procedure</t>
        </is>
      </c>
      <c r="F4" s="5" t="inlineStr">
        <is>
          <t>Expected result</t>
        </is>
      </c>
      <c r="G4" s="5" t="inlineStr">
        <is>
          <t>Actual result / notes</t>
        </is>
      </c>
      <c r="H4" s="5" t="inlineStr">
        <is>
          <t>Pass?</t>
        </is>
      </c>
    </row>
    <row r="5">
      <c r="A5" s="7" t="inlineStr">
        <is>
          <t>Display</t>
        </is>
      </c>
      <c r="B5" s="7" t="inlineStr">
        <is>
          <t>SPI/I2C/control pins</t>
        </is>
      </c>
      <c r="C5" s="7" t="inlineStr">
        <is>
          <t>Fill from exact display documentation</t>
        </is>
      </c>
      <c r="D5" s="7" t="inlineStr">
        <is>
          <t>As specified by display board</t>
        </is>
      </c>
      <c r="E5" s="7" t="inlineStr">
        <is>
          <t>Run display demo before attaching motors</t>
        </is>
      </c>
      <c r="F5" s="7" t="inlineStr">
        <is>
          <t>Face renders without flicker or reset</t>
        </is>
      </c>
      <c r="G5" s="7" t="inlineStr"/>
      <c r="H5" s="7" t="inlineStr">
        <is>
          <t>Not tested</t>
        </is>
      </c>
    </row>
    <row r="6">
      <c r="A6" s="6" t="inlineStr">
        <is>
          <t>Motor driver A</t>
        </is>
      </c>
      <c r="B6" s="6" t="inlineStr">
        <is>
          <t>Control inputs and motor outputs</t>
        </is>
      </c>
      <c r="C6" s="6" t="inlineStr">
        <is>
          <t>Fill from driver datasheet and code</t>
        </is>
      </c>
      <c r="D6" s="6" t="inlineStr">
        <is>
          <t>Motor supply within driver/motor ratings</t>
        </is>
      </c>
      <c r="E6" s="6" t="inlineStr">
        <is>
          <t>Wheels raised; low speed; test forward/reverse/stop</t>
        </is>
      </c>
      <c r="F6" s="6" t="inlineStr">
        <is>
          <t>Motor responds correctly; no overheating</t>
        </is>
      </c>
      <c r="G6" s="6" t="inlineStr"/>
      <c r="H6" s="6" t="inlineStr">
        <is>
          <t>Not tested</t>
        </is>
      </c>
    </row>
    <row r="7">
      <c r="A7" s="7" t="inlineStr">
        <is>
          <t>Motor driver B</t>
        </is>
      </c>
      <c r="B7" s="7" t="inlineStr">
        <is>
          <t>Control inputs and motor outputs</t>
        </is>
      </c>
      <c r="C7" s="7" t="inlineStr">
        <is>
          <t>Fill from driver datasheet and code</t>
        </is>
      </c>
      <c r="D7" s="7" t="inlineStr">
        <is>
          <t>Motor supply within driver/motor ratings</t>
        </is>
      </c>
      <c r="E7" s="7" t="inlineStr">
        <is>
          <t>Test each motor individually</t>
        </is>
      </c>
      <c r="F7" s="7" t="inlineStr">
        <is>
          <t>All motors respond as expected</t>
        </is>
      </c>
      <c r="G7" s="7" t="inlineStr"/>
      <c r="H7" s="7" t="inlineStr">
        <is>
          <t>Not tested</t>
        </is>
      </c>
    </row>
    <row r="8">
      <c r="A8" s="6" t="inlineStr">
        <is>
          <t>Distance sensor</t>
        </is>
      </c>
      <c r="B8" s="6" t="inlineStr">
        <is>
          <t>SDA/SCL or required interface</t>
        </is>
      </c>
      <c r="C8" s="6" t="inlineStr">
        <is>
          <t>Fill from sensor documentation</t>
        </is>
      </c>
      <c r="D8" s="6" t="inlineStr">
        <is>
          <t>Check logic voltage compatibility</t>
        </is>
      </c>
      <c r="E8" s="6" t="inlineStr">
        <is>
          <t>Read several distances with robot stationary</t>
        </is>
      </c>
      <c r="F8" s="6" t="inlineStr">
        <is>
          <t>Stable plausible readings</t>
        </is>
      </c>
      <c r="G8" s="6" t="inlineStr"/>
      <c r="H8" s="6" t="inlineStr">
        <is>
          <t>Not tested</t>
        </is>
      </c>
    </row>
    <row r="9">
      <c r="A9" s="7" t="inlineStr">
        <is>
          <t>Servo</t>
        </is>
      </c>
      <c r="B9" s="7" t="inlineStr">
        <is>
          <t>PWM signal and ground</t>
        </is>
      </c>
      <c r="C9" s="7" t="inlineStr">
        <is>
          <t>Fill from chosen pin plan</t>
        </is>
      </c>
      <c r="D9" s="7" t="inlineStr">
        <is>
          <t>Suitable servo supply; not powered from GPIO</t>
        </is>
      </c>
      <c r="E9" s="7" t="inlineStr">
        <is>
          <t>Move through limited angles with mount unloaded</t>
        </is>
      </c>
      <c r="F9" s="7" t="inlineStr">
        <is>
          <t>Smooth movement; no excessive buzzing</t>
        </is>
      </c>
      <c r="G9" s="7" t="inlineStr"/>
      <c r="H9" s="7" t="inlineStr">
        <is>
          <t>Not tested</t>
        </is>
      </c>
    </row>
    <row r="10">
      <c r="A10" s="6" t="inlineStr">
        <is>
          <t>Pico power</t>
        </is>
      </c>
      <c r="B10" s="6" t="inlineStr">
        <is>
          <t>VSYS/USB/power input as designed</t>
        </is>
      </c>
      <c r="C10" s="6" t="inlineStr">
        <is>
          <t>Use official board docs</t>
        </is>
      </c>
      <c r="D10" s="6" t="inlineStr">
        <is>
          <t>Regulated supply within board limits</t>
        </is>
      </c>
      <c r="E10" s="6" t="inlineStr">
        <is>
          <t>Power-cycle and monitor stability</t>
        </is>
      </c>
      <c r="F10" s="6" t="inlineStr">
        <is>
          <t>Pico starts reliably</t>
        </is>
      </c>
      <c r="G10" s="6" t="inlineStr"/>
      <c r="H10" s="6" t="inlineStr">
        <is>
          <t>Not tested</t>
        </is>
      </c>
    </row>
    <row r="11">
      <c r="A11" s="7" t="inlineStr">
        <is>
          <t>Phone app</t>
        </is>
      </c>
      <c r="B11" s="7" t="inlineStr">
        <is>
          <t>Wi-Fi connection and commands</t>
        </is>
      </c>
      <c r="C11" s="7" t="inlineStr">
        <is>
          <t>Pico W wireless</t>
        </is>
      </c>
      <c r="D11" s="7" t="inlineStr">
        <is>
          <t>Local trusted Wi-Fi network</t>
        </is>
      </c>
      <c r="E11" s="7" t="inlineStr">
        <is>
          <t>Test each button and disconnect phone</t>
        </is>
      </c>
      <c r="F11" s="7" t="inlineStr">
        <is>
          <t>Stop timeout halts motion</t>
        </is>
      </c>
      <c r="G11" s="7" t="inlineStr"/>
      <c r="H11" s="7" t="inlineStr">
        <is>
          <t>Not tested</t>
        </is>
      </c>
    </row>
    <row r="12">
      <c r="A12" s="22" t="inlineStr">
        <is>
          <t>Pi Zero 2 W link</t>
        </is>
      </c>
      <c r="B12" s="22" t="inlineStr">
        <is>
          <t>UART TX/RX/GND to Pico</t>
        </is>
      </c>
      <c r="C12" s="22" t="inlineStr">
        <is>
          <t>Pico UART0 pins, Pi GPIO14/15</t>
        </is>
      </c>
      <c r="D12" s="22" t="inlineStr">
        <is>
          <t>5 V buck for Pi, common ground</t>
        </is>
      </c>
      <c r="E12" s="22" t="inlineStr">
        <is>
          <t>Send a test message each way</t>
        </is>
      </c>
      <c r="F12" s="22" t="inlineStr">
        <is>
          <t>Messages arrive; stop works when unplugged</t>
        </is>
      </c>
      <c r="G12" s="22" t="n"/>
      <c r="H12" s="22" t="inlineStr">
        <is>
          <t>Not tested</t>
        </is>
      </c>
    </row>
    <row r="13">
      <c r="A13" s="22" t="inlineStr">
        <is>
          <t>Bus servos</t>
        </is>
      </c>
      <c r="B13" s="22" t="inlineStr">
        <is>
          <t>Data line via bus driver board</t>
        </is>
      </c>
      <c r="C13" s="22" t="inlineStr">
        <is>
          <t>Pi USB</t>
        </is>
      </c>
      <c r="D13" s="22" t="inlineStr">
        <is>
          <t>2S 7.4 V through fuse</t>
        </is>
      </c>
      <c r="E13" s="22" t="inlineStr">
        <is>
          <t>One servo at a time: set ID, move 10 degrees</t>
        </is>
      </c>
      <c r="F13" s="22" t="inlineStr">
        <is>
          <t>Correct ID, position read back</t>
        </is>
      </c>
      <c r="G13" s="22" t="n"/>
      <c r="H13" s="22" t="inlineStr">
        <is>
          <t>Not tested</t>
        </is>
      </c>
    </row>
    <row r="14">
      <c r="A14" s="22" t="inlineStr">
        <is>
          <t>IMU (BNO055)</t>
        </is>
      </c>
      <c r="B14" s="22" t="inlineStr">
        <is>
          <t>I2C SDA/SCL</t>
        </is>
      </c>
      <c r="C14" s="22" t="inlineStr">
        <is>
          <t>Pi I2C</t>
        </is>
      </c>
      <c r="D14" s="22" t="inlineStr">
        <is>
          <t>3.3 V</t>
        </is>
      </c>
      <c r="E14" s="22" t="inlineStr">
        <is>
          <t>Tilt the robot by hand</t>
        </is>
      </c>
      <c r="F14" s="22" t="inlineStr">
        <is>
          <t>Angles follow the tilt</t>
        </is>
      </c>
      <c r="G14" s="22" t="n"/>
      <c r="H14" s="22" t="inlineStr">
        <is>
          <t>Not tested</t>
        </is>
      </c>
    </row>
    <row r="15">
      <c r="A15" s="22" t="inlineStr">
        <is>
          <t>2S battery + BMS</t>
        </is>
      </c>
      <c r="B15" s="22" t="inlineStr">
        <is>
          <t>Main power</t>
        </is>
      </c>
      <c r="C15" s="22" t="inlineStr">
        <is>
          <t>Switch and fuse</t>
        </is>
      </c>
      <c r="D15" s="22" t="inlineStr">
        <is>
          <t>7.4 V nominal, 8.4 V full</t>
        </is>
      </c>
      <c r="E15" s="22" t="inlineStr">
        <is>
          <t>Measure voltage, then power one servo</t>
        </is>
      </c>
      <c r="F15" s="22" t="inlineStr">
        <is>
          <t>No resets or brown-outs</t>
        </is>
      </c>
      <c r="G15" s="22" t="n"/>
      <c r="H15" s="22" t="inlineStr">
        <is>
          <t>Not tested</t>
        </is>
      </c>
    </row>
    <row r="16">
      <c r="A16" s="22" t="inlineStr">
        <is>
          <t>Arm and hand</t>
        </is>
      </c>
      <c r="B16" s="22" t="inlineStr">
        <is>
          <t>Bus servos 11-14 + hand servos</t>
        </is>
      </c>
      <c r="C16" s="22" t="inlineStr">
        <is>
          <t>Bus driver board</t>
        </is>
      </c>
      <c r="D16" s="22" t="inlineStr">
        <is>
          <t>7.4 V servos, 5 V micro servos</t>
        </is>
      </c>
      <c r="E16" s="22" t="inlineStr">
        <is>
          <t>Arm clamped on the bench, hold horizontal with block</t>
        </is>
      </c>
      <c r="F16" s="22" t="inlineStr">
        <is>
          <t>Load under 70% of stall, no buzzing</t>
        </is>
      </c>
      <c r="G16" s="22" t="n"/>
      <c r="H16" s="22" t="inlineStr">
        <is>
          <t>Not tested</t>
        </is>
      </c>
    </row>
  </sheetData>
  <mergeCells count="2">
    <mergeCell ref="A2:F2"/>
    <mergeCell ref="A1:F1"/>
  </mergeCells>
  <dataValidations count="2">
    <dataValidation sqref="H5:H11" showDropDown="0" showInputMessage="0" showErrorMessage="0" allowBlank="0" type="list">
      <formula1>"Not tested,Pass,Fail,Retest"</formula1>
    </dataValidation>
    <dataValidation sqref="H12:H16" showDropDown="0" showInputMessage="0" showErrorMessage="0" allowBlank="0" type="list">
      <formula1>"Not tested,Pass,Fail,Retest"</formula1>
    </dataValidation>
  </dataValidation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40" customWidth="1" min="11" max="11"/>
  </cols>
  <sheetData>
    <row r="1">
      <c r="A1" s="14" t="inlineStr">
        <is>
          <t>DIGITAL TWIN RESULTS</t>
        </is>
      </c>
    </row>
    <row r="2">
      <c r="A2" s="15" t="inlineStr">
        <is>
          <t>From python sim/bench.py sim/designs/*.json (MuJoCo physics). Re-run after every design change.</t>
        </is>
      </c>
    </row>
    <row r="4" ht="30" customHeight="1">
      <c r="A4" s="16" t="inlineStr">
        <is>
          <t>Design</t>
        </is>
      </c>
      <c r="B4" s="16" t="inlineStr">
        <is>
          <t>Moves on</t>
        </is>
      </c>
      <c r="C4" s="16" t="inlineStr">
        <is>
          <t>Mass (g)</t>
        </is>
      </c>
      <c r="D4" s="16" t="inlineStr">
        <is>
          <t>Top speed (m/s)</t>
        </is>
      </c>
      <c r="E4" s="16" t="inlineStr">
        <is>
          <t>Steepest ramp (deg)</t>
        </is>
      </c>
      <c r="F4" s="16" t="inlineStr">
        <is>
          <t>Tallest step (mm)</t>
        </is>
      </c>
      <c r="G4" s="16" t="inlineStr">
        <is>
          <t>Stands / squats</t>
        </is>
      </c>
      <c r="H4" s="16" t="inlineStr">
        <is>
          <t>Knee peak (% stall)</t>
        </is>
      </c>
      <c r="I4" s="16" t="inlineStr">
        <is>
          <t>Arm out: shoulder load</t>
        </is>
      </c>
      <c r="J4" s="16" t="inlineStr">
        <is>
          <t>Arm out: body tilt (deg)</t>
        </is>
      </c>
      <c r="K4" s="16" t="inlineStr">
        <is>
          <t>Verdict</t>
        </is>
      </c>
    </row>
    <row r="5">
      <c r="A5" s="17" t="inlineStr">
        <is>
          <t>Hatchling</t>
        </is>
      </c>
      <c r="B5" s="17" t="inlineStr">
        <is>
          <t>wheels</t>
        </is>
      </c>
      <c r="C5" s="17" t="n">
        <v>385</v>
      </c>
      <c r="D5" s="17" t="n">
        <v>0.176</v>
      </c>
      <c r="E5" s="17" t="n">
        <v>35</v>
      </c>
      <c r="F5" s="17" t="n">
        <v>10</v>
      </c>
      <c r="G5" s="17" t="n"/>
      <c r="H5" s="17" t="n"/>
      <c r="I5" s="17" t="n"/>
      <c r="J5" s="17" t="n"/>
      <c r="K5" s="17" t="inlineStr">
        <is>
          <t>steps only 10 mm</t>
        </is>
      </c>
    </row>
    <row r="6">
      <c r="A6" s="18" t="inlineStr">
        <is>
          <t>Explorer</t>
        </is>
      </c>
      <c r="B6" s="18" t="inlineStr">
        <is>
          <t>tracks</t>
        </is>
      </c>
      <c r="C6" s="18" t="n">
        <v>432</v>
      </c>
      <c r="D6" s="18" t="n">
        <v>0.225</v>
      </c>
      <c r="E6" s="18" t="n">
        <v>25</v>
      </c>
      <c r="F6" s="18" t="n">
        <v>15</v>
      </c>
      <c r="G6" s="18" t="n"/>
      <c r="H6" s="18" t="n"/>
      <c r="I6" s="18" t="n"/>
      <c r="J6" s="18" t="n"/>
      <c r="K6" s="18" t="inlineStr">
        <is>
          <t>steps only 15 mm</t>
        </is>
      </c>
    </row>
    <row r="7">
      <c r="A7" s="17" t="inlineStr">
        <is>
          <t>Duckling</t>
        </is>
      </c>
      <c r="B7" s="17" t="inlineStr">
        <is>
          <t>legs</t>
        </is>
      </c>
      <c r="C7" s="17" t="n">
        <v>1076</v>
      </c>
      <c r="D7" s="17" t="n"/>
      <c r="E7" s="17" t="n"/>
      <c r="F7" s="17" t="n"/>
      <c r="G7" s="17" t="inlineStr">
        <is>
          <t>yes / yes</t>
        </is>
      </c>
      <c r="H7" s="17" t="n">
        <v>32</v>
      </c>
      <c r="I7" s="17" t="n"/>
      <c r="J7" s="17" t="n"/>
      <c r="K7" s="17" t="inlineStr">
        <is>
          <t>OK</t>
        </is>
      </c>
    </row>
    <row r="8">
      <c r="A8" s="18" t="inlineStr">
        <is>
          <t>Helper</t>
        </is>
      </c>
      <c r="B8" s="18" t="inlineStr">
        <is>
          <t>legs</t>
        </is>
      </c>
      <c r="C8" s="18" t="n">
        <v>1361</v>
      </c>
      <c r="D8" s="18" t="n"/>
      <c r="E8" s="18" t="n"/>
      <c r="F8" s="18" t="n"/>
      <c r="G8" s="18" t="inlineStr">
        <is>
          <t>yes / yes</t>
        </is>
      </c>
      <c r="H8" s="18" t="n">
        <v>36</v>
      </c>
      <c r="I8" s="18" t="inlineStr">
        <is>
          <t>64%</t>
        </is>
      </c>
      <c r="J8" s="18" t="n">
        <v>0.5</v>
      </c>
      <c r="K8" s="18" t="inlineStr">
        <is>
          <t>OK</t>
        </is>
      </c>
    </row>
    <row r="9">
      <c r="A9" s="17" t="inlineStr">
        <is>
          <t>Companion</t>
        </is>
      </c>
      <c r="B9" s="17" t="inlineStr">
        <is>
          <t>legs</t>
        </is>
      </c>
      <c r="C9" s="17" t="n">
        <v>1429</v>
      </c>
      <c r="D9" s="17" t="n"/>
      <c r="E9" s="17" t="n"/>
      <c r="F9" s="17" t="n"/>
      <c r="G9" s="17" t="inlineStr">
        <is>
          <t>yes / yes</t>
        </is>
      </c>
      <c r="H9" s="17" t="n">
        <v>40</v>
      </c>
      <c r="I9" s="17" t="inlineStr">
        <is>
          <t>64%</t>
        </is>
      </c>
      <c r="J9" s="17" t="n">
        <v>0.4</v>
      </c>
      <c r="K9" s="17" t="inlineStr">
        <is>
          <t>OK</t>
        </is>
      </c>
    </row>
    <row r="10">
      <c r="A10" s="18" t="inlineStr">
        <is>
          <t>Hatchling + micro-servo arm</t>
        </is>
      </c>
      <c r="B10" s="18" t="inlineStr">
        <is>
          <t>wheels</t>
        </is>
      </c>
      <c r="C10" s="18" t="n">
        <v>480</v>
      </c>
      <c r="D10" s="18" t="n">
        <v>0.176</v>
      </c>
      <c r="E10" s="18" t="n">
        <v>35</v>
      </c>
      <c r="F10" s="18" t="n">
        <v>10</v>
      </c>
      <c r="G10" s="18" t="n"/>
      <c r="H10" s="18" t="n"/>
      <c r="I10" s="18" t="inlineStr">
        <is>
          <t>93%</t>
        </is>
      </c>
      <c r="J10" s="18" t="n">
        <v>0</v>
      </c>
      <c r="K10" s="18" t="inlineStr">
        <is>
          <t>steps only 10 mm; shoulder near stall</t>
        </is>
      </c>
    </row>
    <row r="11">
      <c r="A11" s="17" t="inlineStr">
        <is>
          <t>Helper + Amazing Hand</t>
        </is>
      </c>
      <c r="B11" s="17" t="inlineStr">
        <is>
          <t>legs</t>
        </is>
      </c>
      <c r="C11" s="17" t="n">
        <v>1716</v>
      </c>
      <c r="D11" s="17" t="n"/>
      <c r="E11" s="17" t="n"/>
      <c r="F11" s="17" t="n"/>
      <c r="G11" s="17" t="inlineStr">
        <is>
          <t>yes / yes</t>
        </is>
      </c>
      <c r="H11" s="17" t="n">
        <v>39</v>
      </c>
      <c r="I11" s="17" t="inlineStr">
        <is>
          <t>100%</t>
        </is>
      </c>
      <c r="J11" s="17" t="n">
        <v>43.6</v>
      </c>
      <c r="K11" s="17" t="inlineStr">
        <is>
          <t>tips over with arm out; shoulder near stall</t>
        </is>
      </c>
    </row>
    <row r="12">
      <c r="A12" s="18" t="inlineStr">
        <is>
          <t>Mini duck on SG90 servos</t>
        </is>
      </c>
      <c r="B12" s="18" t="inlineStr">
        <is>
          <t>legs</t>
        </is>
      </c>
      <c r="C12" s="18" t="n">
        <v>473</v>
      </c>
      <c r="D12" s="18" t="n"/>
      <c r="E12" s="18" t="n"/>
      <c r="F12" s="18" t="n"/>
      <c r="G12" s="18" t="inlineStr">
        <is>
          <t>yes / yes</t>
        </is>
      </c>
      <c r="H12" s="18" t="n">
        <v>100</v>
      </c>
      <c r="I12" s="18" t="n"/>
      <c r="J12" s="18" t="n"/>
      <c r="K12" s="18" t="inlineStr">
        <is>
          <t>knees at stall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2026-10-29T09:15:49Z</dcterms:created>
  <dcterms:modified xmlns:dcterms="http://purl.org/dc/terms/" xmlns:xsi="http://www.w3.org/2001/XMLSchema-instance" xsi:type="dcterms:W3CDTF">2026-10-29T17:15:17Z</dcterms:modified>
</cp:coreProperties>
</file>